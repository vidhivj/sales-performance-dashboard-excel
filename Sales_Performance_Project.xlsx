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80" yWindow="130" windowWidth="19100" windowHeight="8550" activeTab="1"/>
  </bookViews>
  <sheets>
    <sheet name="Pivot Tables" sheetId="4" r:id="rId1"/>
    <sheet name="Sales Data Sheet" sheetId="1" r:id="rId2"/>
    <sheet name="Dashboard" sheetId="2" r:id="rId3"/>
  </sheets>
  <calcPr calcId="124519"/>
  <pivotCaches>
    <pivotCache cacheId="1" r:id="rId4"/>
  </pivotCaches>
</workbook>
</file>

<file path=xl/calcChain.xml><?xml version="1.0" encoding="utf-8"?>
<calcChain xmlns="http://schemas.openxmlformats.org/spreadsheetml/2006/main">
  <c r="B41" i="2"/>
  <c r="B40"/>
  <c r="B39"/>
  <c r="B38"/>
  <c r="H5"/>
  <c r="E5"/>
  <c r="B5"/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10"/>
  <c r="K5" i="2" l="1"/>
</calcChain>
</file>

<file path=xl/sharedStrings.xml><?xml version="1.0" encoding="utf-8"?>
<sst xmlns="http://schemas.openxmlformats.org/spreadsheetml/2006/main" count="471" uniqueCount="53">
  <si>
    <t>Order ID</t>
  </si>
  <si>
    <t xml:space="preserve">Date </t>
  </si>
  <si>
    <t xml:space="preserve">Region </t>
  </si>
  <si>
    <t>Salesperson</t>
  </si>
  <si>
    <t>Product</t>
  </si>
  <si>
    <t>Quantity</t>
  </si>
  <si>
    <t>Sales Amount</t>
  </si>
  <si>
    <t>Profit</t>
  </si>
  <si>
    <t>North</t>
  </si>
  <si>
    <t>Amit Singh</t>
  </si>
  <si>
    <t>Laptop</t>
  </si>
  <si>
    <t>South</t>
  </si>
  <si>
    <t>East</t>
  </si>
  <si>
    <t>West</t>
  </si>
  <si>
    <t>mobile</t>
  </si>
  <si>
    <t>Tablet</t>
  </si>
  <si>
    <t>Smartwatch</t>
  </si>
  <si>
    <t>Headphones</t>
  </si>
  <si>
    <t>Cost</t>
  </si>
  <si>
    <t>Neha Sharma</t>
  </si>
  <si>
    <t>Rajiv Kumar</t>
  </si>
  <si>
    <t>Aaradhya Singh</t>
  </si>
  <si>
    <t>Shiv Dubey</t>
  </si>
  <si>
    <t>Aashish Solankhi</t>
  </si>
  <si>
    <t>Raj Nair</t>
  </si>
  <si>
    <t>Ira Rajdev</t>
  </si>
  <si>
    <t>Month</t>
  </si>
  <si>
    <t>Profit Margin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</si>
  <si>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</si>
  <si>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</si>
  <si>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</si>
  <si>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</si>
  <si>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</si>
  <si>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</si>
  <si>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</si>
  <si>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</si>
  <si>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</si>
  <si>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</si>
  <si>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</si>
  <si>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</si>
  <si>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</si>
  <si>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</si>
  <si>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 Amount</t>
  </si>
  <si>
    <t>Values</t>
  </si>
  <si>
    <t>Sum of Profit</t>
  </si>
  <si>
    <t>Sales Performance Dashboard 2024</t>
  </si>
  <si>
    <t>Total Profit</t>
  </si>
  <si>
    <t>Total Sales</t>
  </si>
  <si>
    <t xml:space="preserve"> Total Orders</t>
  </si>
  <si>
    <t>Dashboard Insight</t>
  </si>
  <si>
    <t>Dashboard Navigation</t>
  </si>
  <si>
    <t>✔</t>
  </si>
  <si>
    <t>Mobile</t>
  </si>
</sst>
</file>

<file path=xl/styles.xml><?xml version="1.0" encoding="utf-8"?>
<styleSheet xmlns="http://schemas.openxmlformats.org/spreadsheetml/2006/main">
  <numFmts count="1">
    <numFmt numFmtId="164" formatCode="&quot;₹&quot;\ #,##0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009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4" xfId="0" applyFill="1" applyBorder="1" applyAlignment="1"/>
    <xf numFmtId="0" fontId="0" fillId="4" borderId="5" xfId="0" applyFill="1" applyBorder="1" applyAlignment="1"/>
    <xf numFmtId="0" fontId="0" fillId="4" borderId="6" xfId="0" applyFill="1" applyBorder="1" applyAlignment="1"/>
    <xf numFmtId="0" fontId="0" fillId="4" borderId="7" xfId="0" applyFill="1" applyBorder="1" applyAlignment="1"/>
    <xf numFmtId="0" fontId="0" fillId="4" borderId="8" xfId="0" applyFill="1" applyBorder="1" applyAlignment="1"/>
    <xf numFmtId="0" fontId="3" fillId="4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5" fontId="0" fillId="5" borderId="9" xfId="0" applyNumberFormat="1" applyFill="1" applyBorder="1" applyAlignment="1">
      <alignment horizontal="center"/>
    </xf>
    <xf numFmtId="10" fontId="0" fillId="5" borderId="9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10" fontId="3" fillId="4" borderId="0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/>
    <xf numFmtId="0" fontId="0" fillId="7" borderId="1" xfId="0" applyFill="1" applyBorder="1" applyAlignment="1"/>
    <xf numFmtId="0" fontId="0" fillId="7" borderId="2" xfId="0" applyFill="1" applyBorder="1"/>
    <xf numFmtId="0" fontId="0" fillId="7" borderId="2" xfId="0" applyFill="1" applyBorder="1" applyAlignment="1"/>
    <xf numFmtId="0" fontId="0" fillId="7" borderId="3" xfId="0" applyFill="1" applyBorder="1" applyAlignment="1"/>
    <xf numFmtId="0" fontId="6" fillId="7" borderId="4" xfId="0" applyFont="1" applyFill="1" applyBorder="1" applyAlignment="1">
      <alignment horizontal="right" vertical="center"/>
    </xf>
    <xf numFmtId="0" fontId="7" fillId="7" borderId="0" xfId="0" applyFont="1" applyFill="1" applyBorder="1" applyAlignment="1"/>
    <xf numFmtId="0" fontId="0" fillId="7" borderId="0" xfId="0" applyFill="1" applyBorder="1"/>
    <xf numFmtId="0" fontId="0" fillId="7" borderId="5" xfId="0" applyFill="1" applyBorder="1"/>
    <xf numFmtId="0" fontId="7" fillId="7" borderId="0" xfId="0" applyFont="1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4" xfId="0" applyFill="1" applyBorder="1"/>
    <xf numFmtId="164" fontId="0" fillId="5" borderId="9" xfId="0" applyNumberForma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CC0099"/>
      <color rgb="FFFF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9"/>
  <c:pivotSource>
    <c:name>[Sales_Performance_Project.xlsx]Pivot Tables!PivotTable1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 Sales Trend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cked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Tables'!$A$4:$A$16</c:f>
              <c:strCache>
                <c:ptCount val="12"/>
                <c:pt idx="0">
                  <c:v>Mar</c:v>
                </c:pt>
                <c:pt idx="1">
                  <c:v>Oct</c:v>
                </c:pt>
                <c:pt idx="2">
                  <c:v>Nov</c:v>
                </c:pt>
                <c:pt idx="3">
                  <c:v>Jun</c:v>
                </c:pt>
                <c:pt idx="4">
                  <c:v>Sep</c:v>
                </c:pt>
                <c:pt idx="5">
                  <c:v>Dec</c:v>
                </c:pt>
                <c:pt idx="6">
                  <c:v>Apr</c:v>
                </c:pt>
                <c:pt idx="7">
                  <c:v>Jul</c:v>
                </c:pt>
                <c:pt idx="8">
                  <c:v>Jan</c:v>
                </c:pt>
                <c:pt idx="9">
                  <c:v>Feb</c:v>
                </c:pt>
                <c:pt idx="10">
                  <c:v>May</c:v>
                </c:pt>
                <c:pt idx="11">
                  <c:v>Aug</c:v>
                </c:pt>
              </c:strCache>
            </c:strRef>
          </c:cat>
          <c:val>
            <c:numRef>
              <c:f>'Pivot Tables'!$B$4:$B$16</c:f>
              <c:numCache>
                <c:formatCode>General</c:formatCode>
                <c:ptCount val="12"/>
                <c:pt idx="0">
                  <c:v>6980450</c:v>
                </c:pt>
                <c:pt idx="1">
                  <c:v>6529848</c:v>
                </c:pt>
                <c:pt idx="2">
                  <c:v>6143927</c:v>
                </c:pt>
                <c:pt idx="3">
                  <c:v>5107279</c:v>
                </c:pt>
                <c:pt idx="4">
                  <c:v>5009541</c:v>
                </c:pt>
                <c:pt idx="5">
                  <c:v>4911065</c:v>
                </c:pt>
                <c:pt idx="6">
                  <c:v>4722687</c:v>
                </c:pt>
                <c:pt idx="7">
                  <c:v>4627443</c:v>
                </c:pt>
                <c:pt idx="8">
                  <c:v>4570497</c:v>
                </c:pt>
                <c:pt idx="9">
                  <c:v>4111552</c:v>
                </c:pt>
                <c:pt idx="10">
                  <c:v>3938444</c:v>
                </c:pt>
                <c:pt idx="11">
                  <c:v>3787358</c:v>
                </c:pt>
              </c:numCache>
            </c:numRef>
          </c:val>
        </c:ser>
        <c:marker val="1"/>
        <c:axId val="157510272"/>
        <c:axId val="157543424"/>
      </c:lineChart>
      <c:catAx>
        <c:axId val="157510272"/>
        <c:scaling>
          <c:orientation val="minMax"/>
        </c:scaling>
        <c:axPos val="b"/>
        <c:majorTickMark val="none"/>
        <c:tickLblPos val="nextTo"/>
        <c:crossAx val="157543424"/>
        <c:crosses val="autoZero"/>
        <c:auto val="1"/>
        <c:lblAlgn val="ctr"/>
        <c:lblOffset val="100"/>
      </c:catAx>
      <c:valAx>
        <c:axId val="1575434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751027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pivotSource>
    <c:name>[Sales_Performance_Project.xlsx]Pivot Tables!PivotTable2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dLbl>
          <c:idx val="0"/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Tables'!$A$20:$A$24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'Pivot Tables'!$B$20:$B$24</c:f>
              <c:numCache>
                <c:formatCode>General</c:formatCode>
                <c:ptCount val="4"/>
                <c:pt idx="0">
                  <c:v>16361705</c:v>
                </c:pt>
                <c:pt idx="1">
                  <c:v>15881091</c:v>
                </c:pt>
                <c:pt idx="2">
                  <c:v>15835905</c:v>
                </c:pt>
                <c:pt idx="3">
                  <c:v>12361390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t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5"/>
  <c:pivotSource>
    <c:name>[Sales_Performance_Project.xlsx]Pivot Tables!PivotTable3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 Sales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Tables'!$A$28:$A$33</c:f>
              <c:strCache>
                <c:ptCount val="5"/>
                <c:pt idx="0">
                  <c:v>Mobile</c:v>
                </c:pt>
                <c:pt idx="1">
                  <c:v>Smartwatch</c:v>
                </c:pt>
                <c:pt idx="2">
                  <c:v>Headphones</c:v>
                </c:pt>
                <c:pt idx="3">
                  <c:v>Tablet</c:v>
                </c:pt>
                <c:pt idx="4">
                  <c:v>Laptop</c:v>
                </c:pt>
              </c:strCache>
            </c:strRef>
          </c:cat>
          <c:val>
            <c:numRef>
              <c:f>'Pivot Tables'!$B$28:$B$33</c:f>
              <c:numCache>
                <c:formatCode>General</c:formatCode>
                <c:ptCount val="5"/>
                <c:pt idx="0">
                  <c:v>14430485</c:v>
                </c:pt>
                <c:pt idx="1">
                  <c:v>13301627</c:v>
                </c:pt>
                <c:pt idx="2">
                  <c:v>13285802</c:v>
                </c:pt>
                <c:pt idx="3">
                  <c:v>10106750</c:v>
                </c:pt>
                <c:pt idx="4">
                  <c:v>9315427</c:v>
                </c:pt>
              </c:numCache>
            </c:numRef>
          </c:val>
        </c:ser>
        <c:axId val="170134528"/>
        <c:axId val="170148608"/>
      </c:barChart>
      <c:catAx>
        <c:axId val="170134528"/>
        <c:scaling>
          <c:orientation val="minMax"/>
        </c:scaling>
        <c:axPos val="l"/>
        <c:tickLblPos val="nextTo"/>
        <c:crossAx val="170148608"/>
        <c:crosses val="autoZero"/>
        <c:auto val="1"/>
        <c:lblAlgn val="ctr"/>
        <c:lblOffset val="100"/>
      </c:catAx>
      <c:valAx>
        <c:axId val="170148608"/>
        <c:scaling>
          <c:orientation val="minMax"/>
        </c:scaling>
        <c:axPos val="b"/>
        <c:majorGridlines/>
        <c:numFmt formatCode="General" sourceLinked="1"/>
        <c:tickLblPos val="nextTo"/>
        <c:crossAx val="1701345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5"/>
  <c:pivotSource>
    <c:name>[Sales_Performance_Project.xlsx]Pivot Tables!PivotTable4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Salesperson Performance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Tables'!$B$36:$B$37</c:f>
              <c:strCache>
                <c:ptCount val="1"/>
                <c:pt idx="0">
                  <c:v>Sum of Sales Amount</c:v>
                </c:pt>
              </c:strCache>
            </c:strRef>
          </c:tx>
          <c:cat>
            <c:strRef>
              <c:f>'Pivot Tables'!$A$38:$A$46</c:f>
              <c:strCache>
                <c:ptCount val="8"/>
                <c:pt idx="0">
                  <c:v>Rajiv Kumar</c:v>
                </c:pt>
                <c:pt idx="1">
                  <c:v>Aaradhya Singh</c:v>
                </c:pt>
                <c:pt idx="2">
                  <c:v>Raj Nair</c:v>
                </c:pt>
                <c:pt idx="3">
                  <c:v>Shiv Dubey</c:v>
                </c:pt>
                <c:pt idx="4">
                  <c:v>Neha Sharma</c:v>
                </c:pt>
                <c:pt idx="5">
                  <c:v>Aashish Solankhi</c:v>
                </c:pt>
                <c:pt idx="6">
                  <c:v>Amit Singh</c:v>
                </c:pt>
                <c:pt idx="7">
                  <c:v>Ira Rajdev</c:v>
                </c:pt>
              </c:strCache>
            </c:strRef>
          </c:cat>
          <c:val>
            <c:numRef>
              <c:f>'Pivot Tables'!$B$38:$B$46</c:f>
              <c:numCache>
                <c:formatCode>General</c:formatCode>
                <c:ptCount val="8"/>
                <c:pt idx="0">
                  <c:v>9156006</c:v>
                </c:pt>
                <c:pt idx="1">
                  <c:v>8224411</c:v>
                </c:pt>
                <c:pt idx="2">
                  <c:v>9123966</c:v>
                </c:pt>
                <c:pt idx="3">
                  <c:v>7330185</c:v>
                </c:pt>
                <c:pt idx="4">
                  <c:v>7099507</c:v>
                </c:pt>
                <c:pt idx="5">
                  <c:v>7258004</c:v>
                </c:pt>
                <c:pt idx="6">
                  <c:v>6151085</c:v>
                </c:pt>
                <c:pt idx="7">
                  <c:v>6096927</c:v>
                </c:pt>
              </c:numCache>
            </c:numRef>
          </c:val>
        </c:ser>
        <c:ser>
          <c:idx val="1"/>
          <c:order val="1"/>
          <c:tx>
            <c:strRef>
              <c:f>'Pivot Tables'!$C$36:$C$37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'Pivot Tables'!$A$38:$A$46</c:f>
              <c:strCache>
                <c:ptCount val="8"/>
                <c:pt idx="0">
                  <c:v>Rajiv Kumar</c:v>
                </c:pt>
                <c:pt idx="1">
                  <c:v>Aaradhya Singh</c:v>
                </c:pt>
                <c:pt idx="2">
                  <c:v>Raj Nair</c:v>
                </c:pt>
                <c:pt idx="3">
                  <c:v>Shiv Dubey</c:v>
                </c:pt>
                <c:pt idx="4">
                  <c:v>Neha Sharma</c:v>
                </c:pt>
                <c:pt idx="5">
                  <c:v>Aashish Solankhi</c:v>
                </c:pt>
                <c:pt idx="6">
                  <c:v>Amit Singh</c:v>
                </c:pt>
                <c:pt idx="7">
                  <c:v>Ira Rajdev</c:v>
                </c:pt>
              </c:strCache>
            </c:strRef>
          </c:cat>
          <c:val>
            <c:numRef>
              <c:f>'Pivot Tables'!$C$38:$C$46</c:f>
              <c:numCache>
                <c:formatCode>General</c:formatCode>
                <c:ptCount val="8"/>
                <c:pt idx="0">
                  <c:v>2506325.6600000006</c:v>
                </c:pt>
                <c:pt idx="1">
                  <c:v>2318111.9700000002</c:v>
                </c:pt>
                <c:pt idx="2">
                  <c:v>2309723.7400000002</c:v>
                </c:pt>
                <c:pt idx="3">
                  <c:v>1864252.9499999997</c:v>
                </c:pt>
                <c:pt idx="4">
                  <c:v>1702726.24</c:v>
                </c:pt>
                <c:pt idx="5">
                  <c:v>1648137.7</c:v>
                </c:pt>
                <c:pt idx="6">
                  <c:v>1578933.3899999997</c:v>
                </c:pt>
                <c:pt idx="7">
                  <c:v>1335275.3</c:v>
                </c:pt>
              </c:numCache>
            </c:numRef>
          </c:val>
        </c:ser>
        <c:axId val="170165376"/>
        <c:axId val="170166912"/>
      </c:barChart>
      <c:catAx>
        <c:axId val="170165376"/>
        <c:scaling>
          <c:orientation val="minMax"/>
        </c:scaling>
        <c:axPos val="b"/>
        <c:tickLblPos val="nextTo"/>
        <c:crossAx val="170166912"/>
        <c:crosses val="autoZero"/>
        <c:auto val="1"/>
        <c:lblAlgn val="ctr"/>
        <c:lblOffset val="100"/>
      </c:catAx>
      <c:valAx>
        <c:axId val="170166912"/>
        <c:scaling>
          <c:orientation val="minMax"/>
        </c:scaling>
        <c:axPos val="l"/>
        <c:majorGridlines/>
        <c:numFmt formatCode="General" sourceLinked="1"/>
        <c:tickLblPos val="nextTo"/>
        <c:crossAx val="1701653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hyperlink" Target="#'Pivot Tables'!A1"/><Relationship Id="rId5" Type="http://schemas.openxmlformats.org/officeDocument/2006/relationships/image" Target="../media/image1.png"/><Relationship Id="rId10" Type="http://schemas.openxmlformats.org/officeDocument/2006/relationships/hyperlink" Target="#'Sales Data Sheet'!A1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596900</xdr:colOff>
      <xdr:row>19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5</xdr:row>
      <xdr:rowOff>184150</xdr:rowOff>
    </xdr:from>
    <xdr:to>
      <xdr:col>11</xdr:col>
      <xdr:colOff>603250</xdr:colOff>
      <xdr:row>19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171450</xdr:rowOff>
    </xdr:from>
    <xdr:to>
      <xdr:col>5</xdr:col>
      <xdr:colOff>596900</xdr:colOff>
      <xdr:row>35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165100</xdr:rowOff>
    </xdr:from>
    <xdr:to>
      <xdr:col>12</xdr:col>
      <xdr:colOff>0</xdr:colOff>
      <xdr:row>34</xdr:row>
      <xdr:rowOff>177800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270300</xdr:colOff>
      <xdr:row>3</xdr:row>
      <xdr:rowOff>19050</xdr:rowOff>
    </xdr:from>
    <xdr:to>
      <xdr:col>1</xdr:col>
      <xdr:colOff>480087</xdr:colOff>
      <xdr:row>4</xdr:row>
      <xdr:rowOff>0</xdr:rowOff>
    </xdr:to>
    <xdr:pic>
      <xdr:nvPicPr>
        <xdr:cNvPr id="6" name="Picture 5" descr="money-bags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9900" y="577850"/>
          <a:ext cx="209787" cy="215900"/>
        </a:xfrm>
        <a:prstGeom prst="rect">
          <a:avLst/>
        </a:prstGeom>
      </xdr:spPr>
    </xdr:pic>
    <xdr:clientData/>
  </xdr:twoCellAnchor>
  <xdr:twoCellAnchor editAs="oneCell">
    <xdr:from>
      <xdr:col>4</xdr:col>
      <xdr:colOff>62025</xdr:colOff>
      <xdr:row>3</xdr:row>
      <xdr:rowOff>14855</xdr:rowOff>
    </xdr:from>
    <xdr:to>
      <xdr:col>4</xdr:col>
      <xdr:colOff>374650</xdr:colOff>
      <xdr:row>4</xdr:row>
      <xdr:rowOff>680</xdr:rowOff>
    </xdr:to>
    <xdr:pic>
      <xdr:nvPicPr>
        <xdr:cNvPr id="7" name="Picture 6" descr="profit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706925" y="573655"/>
          <a:ext cx="312625" cy="220775"/>
        </a:xfrm>
        <a:prstGeom prst="rect">
          <a:avLst/>
        </a:prstGeom>
      </xdr:spPr>
    </xdr:pic>
    <xdr:clientData/>
  </xdr:twoCellAnchor>
  <xdr:twoCellAnchor editAs="oneCell">
    <xdr:from>
      <xdr:col>6</xdr:col>
      <xdr:colOff>298451</xdr:colOff>
      <xdr:row>3</xdr:row>
      <xdr:rowOff>1</xdr:rowOff>
    </xdr:from>
    <xdr:to>
      <xdr:col>6</xdr:col>
      <xdr:colOff>551841</xdr:colOff>
      <xdr:row>4</xdr:row>
      <xdr:rowOff>18441</xdr:rowOff>
    </xdr:to>
    <xdr:pic>
      <xdr:nvPicPr>
        <xdr:cNvPr id="8" name="Picture 7" descr="logistics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229351" y="558801"/>
          <a:ext cx="253390" cy="253390"/>
        </a:xfrm>
        <a:prstGeom prst="rect">
          <a:avLst/>
        </a:prstGeom>
      </xdr:spPr>
    </xdr:pic>
    <xdr:clientData/>
  </xdr:twoCellAnchor>
  <xdr:twoCellAnchor editAs="oneCell">
    <xdr:from>
      <xdr:col>9</xdr:col>
      <xdr:colOff>444500</xdr:colOff>
      <xdr:row>3</xdr:row>
      <xdr:rowOff>680</xdr:rowOff>
    </xdr:from>
    <xdr:to>
      <xdr:col>10</xdr:col>
      <xdr:colOff>120650</xdr:colOff>
      <xdr:row>4</xdr:row>
      <xdr:rowOff>51480</xdr:rowOff>
    </xdr:to>
    <xdr:pic>
      <xdr:nvPicPr>
        <xdr:cNvPr id="9" name="Picture 8" descr="profit-margin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477250" y="55948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1358900</xdr:colOff>
      <xdr:row>35</xdr:row>
      <xdr:rowOff>44450</xdr:rowOff>
    </xdr:from>
    <xdr:to>
      <xdr:col>1</xdr:col>
      <xdr:colOff>1538421</xdr:colOff>
      <xdr:row>35</xdr:row>
      <xdr:rowOff>223971</xdr:rowOff>
    </xdr:to>
    <xdr:pic>
      <xdr:nvPicPr>
        <xdr:cNvPr id="10" name="Picture 9" descr="pin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68500" y="6705600"/>
          <a:ext cx="179521" cy="179521"/>
        </a:xfrm>
        <a:prstGeom prst="rect">
          <a:avLst/>
        </a:prstGeom>
      </xdr:spPr>
    </xdr:pic>
    <xdr:clientData/>
  </xdr:twoCellAnchor>
  <xdr:twoCellAnchor>
    <xdr:from>
      <xdr:col>6</xdr:col>
      <xdr:colOff>508000</xdr:colOff>
      <xdr:row>37</xdr:row>
      <xdr:rowOff>0</xdr:rowOff>
    </xdr:from>
    <xdr:to>
      <xdr:col>10</xdr:col>
      <xdr:colOff>57150</xdr:colOff>
      <xdr:row>38</xdr:row>
      <xdr:rowOff>209550</xdr:rowOff>
    </xdr:to>
    <xdr:sp macro="" textlink="">
      <xdr:nvSpPr>
        <xdr:cNvPr id="11" name="Rounded Rectangle 10">
          <a:hlinkClick xmlns:r="http://schemas.openxmlformats.org/officeDocument/2006/relationships" r:id="rId10"/>
        </xdr:cNvPr>
        <xdr:cNvSpPr/>
      </xdr:nvSpPr>
      <xdr:spPr>
        <a:xfrm>
          <a:off x="6248400" y="7086600"/>
          <a:ext cx="1987550" cy="5397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a:rPr>
            <a:t>📝  Sales Data Sheet</a:t>
          </a:r>
        </a:p>
      </xdr:txBody>
    </xdr:sp>
    <xdr:clientData/>
  </xdr:twoCellAnchor>
  <xdr:twoCellAnchor>
    <xdr:from>
      <xdr:col>6</xdr:col>
      <xdr:colOff>488950</xdr:colOff>
      <xdr:row>39</xdr:row>
      <xdr:rowOff>101600</xdr:rowOff>
    </xdr:from>
    <xdr:to>
      <xdr:col>10</xdr:col>
      <xdr:colOff>76200</xdr:colOff>
      <xdr:row>40</xdr:row>
      <xdr:rowOff>323850</xdr:rowOff>
    </xdr:to>
    <xdr:sp macro="" textlink="">
      <xdr:nvSpPr>
        <xdr:cNvPr id="12" name="Rounded Rectangle 11">
          <a:hlinkClick xmlns:r="http://schemas.openxmlformats.org/officeDocument/2006/relationships" r:id="rId11"/>
        </xdr:cNvPr>
        <xdr:cNvSpPr/>
      </xdr:nvSpPr>
      <xdr:spPr>
        <a:xfrm>
          <a:off x="6229350" y="7848600"/>
          <a:ext cx="2025650" cy="5524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📊  Pivot</a:t>
          </a:r>
          <a:r>
            <a:rPr lang="en-US" sz="1400" b="1" baseline="0"/>
            <a:t> Table</a:t>
          </a:r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02.489612384263" createdVersion="3" refreshedVersion="3" minRefreshableVersion="3" recordCount="199">
  <cacheSource type="worksheet">
    <worksheetSource ref="A1:K200" sheet="Sales Data Sheet"/>
  </cacheSource>
  <cacheFields count="11">
    <cacheField name="Order ID" numFmtId="0">
      <sharedItems containsSemiMixedTypes="0" containsString="0" containsNumber="1" containsInteger="1" minValue="1001" maxValue="1199"/>
    </cacheField>
    <cacheField name="Date " numFmtId="14">
      <sharedItems containsSemiMixedTypes="0" containsNonDate="0" containsDate="1" containsString="0" minDate="2024-01-03T00:00:00" maxDate="2024-12-30T00:00:00"/>
    </cacheField>
    <cacheField name="Month" numFmtId="15">
      <sharedItems count="12">
        <s v="Jul"/>
        <s v="Dec"/>
        <s v="May"/>
        <s v="Oct"/>
        <s v="Apr"/>
        <s v="Feb"/>
        <s v="Jan"/>
        <s v="Mar"/>
        <s v="Sep"/>
        <s v="Nov"/>
        <s v="Aug"/>
        <s v="Jun"/>
      </sharedItems>
    </cacheField>
    <cacheField name="Region " numFmtId="0">
      <sharedItems count="4">
        <s v="North"/>
        <s v="South"/>
        <s v="East"/>
        <s v="West"/>
      </sharedItems>
    </cacheField>
    <cacheField name="Salesperson" numFmtId="0">
      <sharedItems count="8">
        <s v="Amit Singh"/>
        <s v="Neha Sharma"/>
        <s v="Rajiv Kumar"/>
        <s v="Aaradhya Singh"/>
        <s v="Shiv Dubey"/>
        <s v="Aashish Solankhi"/>
        <s v="Raj Nair"/>
        <s v="Ira Rajdev"/>
      </sharedItems>
    </cacheField>
    <cacheField name="Product" numFmtId="0">
      <sharedItems count="5">
        <s v="Laptop"/>
        <s v="Mobile"/>
        <s v="Tablet"/>
        <s v="Smartwatch"/>
        <s v="Headphones"/>
      </sharedItems>
    </cacheField>
    <cacheField name="Quantity" numFmtId="0">
      <sharedItems containsSemiMixedTypes="0" containsString="0" containsNumber="1" containsInteger="1" minValue="1" maxValue="10"/>
    </cacheField>
    <cacheField name="Sales Amount" numFmtId="0">
      <sharedItems containsSemiMixedTypes="0" containsString="0" containsNumber="1" containsInteger="1" minValue="100000" maxValue="499316"/>
    </cacheField>
    <cacheField name="Cost" numFmtId="0">
      <sharedItems containsSemiMixedTypes="0" containsString="0" containsNumber="1" minValue="65347.47" maxValue="413887.8"/>
    </cacheField>
    <cacheField name="Profit" numFmtId="0">
      <sharedItems containsSemiMixedTypes="0" containsString="0" containsNumber="1" minValue="13129.490000000005" maxValue="199726.40000000002"/>
    </cacheField>
    <cacheField name="Profit Margin" numFmtId="10">
      <sharedItems containsSemiMixedTypes="0" containsString="0" containsNumber="1" minValue="9.9999999999999978E-2" maxValue="0.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n v="1001"/>
    <d v="2024-07-26T00:00:00"/>
    <x v="0"/>
    <x v="0"/>
    <x v="0"/>
    <x v="0"/>
    <n v="2"/>
    <n v="100000"/>
    <n v="80000"/>
    <n v="20000"/>
    <n v="0.2"/>
  </r>
  <r>
    <n v="1002"/>
    <d v="2024-12-18T00:00:00"/>
    <x v="1"/>
    <x v="1"/>
    <x v="1"/>
    <x v="1"/>
    <n v="7"/>
    <n v="498660"/>
    <n v="413887.8"/>
    <n v="84772.200000000012"/>
    <n v="0.17"/>
  </r>
  <r>
    <n v="1003"/>
    <d v="2024-05-06T00:00:00"/>
    <x v="2"/>
    <x v="2"/>
    <x v="2"/>
    <x v="2"/>
    <n v="9"/>
    <n v="155104"/>
    <n v="96164.479999999996"/>
    <n v="58939.520000000004"/>
    <n v="0.38"/>
  </r>
  <r>
    <n v="1004"/>
    <d v="2024-10-28T00:00:00"/>
    <x v="3"/>
    <x v="3"/>
    <x v="3"/>
    <x v="3"/>
    <n v="10"/>
    <n v="421293"/>
    <n v="374950.77"/>
    <n v="46342.229999999981"/>
    <n v="0.10999999999999996"/>
  </r>
  <r>
    <n v="1005"/>
    <d v="2024-10-11T00:00:00"/>
    <x v="3"/>
    <x v="2"/>
    <x v="4"/>
    <x v="4"/>
    <n v="2"/>
    <n v="405035"/>
    <n v="344279.75"/>
    <n v="60755.25"/>
    <n v="0.15"/>
  </r>
  <r>
    <n v="1006"/>
    <d v="2024-04-03T00:00:00"/>
    <x v="4"/>
    <x v="2"/>
    <x v="5"/>
    <x v="4"/>
    <n v="10"/>
    <n v="219588"/>
    <n v="184453.92"/>
    <n v="35134.079999999987"/>
    <n v="0.15999999999999995"/>
  </r>
  <r>
    <n v="1007"/>
    <d v="2024-02-09T00:00:00"/>
    <x v="5"/>
    <x v="3"/>
    <x v="6"/>
    <x v="2"/>
    <n v="1"/>
    <n v="482853"/>
    <n v="391110.93"/>
    <n v="91742.07"/>
    <n v="0.19"/>
  </r>
  <r>
    <n v="1008"/>
    <d v="2024-01-21T00:00:00"/>
    <x v="6"/>
    <x v="1"/>
    <x v="7"/>
    <x v="0"/>
    <n v="8"/>
    <n v="165886"/>
    <n v="147638.54"/>
    <n v="18247.459999999992"/>
    <n v="0.10999999999999995"/>
  </r>
  <r>
    <n v="1009"/>
    <d v="2024-05-03T00:00:00"/>
    <x v="2"/>
    <x v="2"/>
    <x v="5"/>
    <x v="0"/>
    <n v="1"/>
    <n v="297777"/>
    <n v="250132.68"/>
    <n v="47644.320000000007"/>
    <n v="0.16000000000000003"/>
  </r>
  <r>
    <n v="1010"/>
    <d v="2024-03-04T00:00:00"/>
    <x v="7"/>
    <x v="2"/>
    <x v="3"/>
    <x v="0"/>
    <n v="5"/>
    <n v="488175"/>
    <n v="351486"/>
    <n v="136689"/>
    <n v="0.28000000000000003"/>
  </r>
  <r>
    <n v="1011"/>
    <d v="2024-09-08T00:00:00"/>
    <x v="8"/>
    <x v="0"/>
    <x v="4"/>
    <x v="4"/>
    <n v="1"/>
    <n v="242855"/>
    <n v="160284.29999999999"/>
    <n v="82570.700000000012"/>
    <n v="0.34"/>
  </r>
  <r>
    <n v="1012"/>
    <d v="2024-05-23T00:00:00"/>
    <x v="2"/>
    <x v="3"/>
    <x v="1"/>
    <x v="4"/>
    <n v="8"/>
    <n v="193249"/>
    <n v="133341.81"/>
    <n v="59907.19"/>
    <n v="0.31"/>
  </r>
  <r>
    <n v="1013"/>
    <d v="2024-07-09T00:00:00"/>
    <x v="0"/>
    <x v="1"/>
    <x v="4"/>
    <x v="3"/>
    <n v="10"/>
    <n v="458728"/>
    <n v="371569.68"/>
    <n v="87158.32"/>
    <n v="0.19"/>
  </r>
  <r>
    <n v="1014"/>
    <d v="2024-02-26T00:00:00"/>
    <x v="5"/>
    <x v="3"/>
    <x v="1"/>
    <x v="1"/>
    <n v="4"/>
    <n v="160726"/>
    <n v="96435.6"/>
    <n v="64290.399999999994"/>
    <n v="0.39999999999999997"/>
  </r>
  <r>
    <n v="1015"/>
    <d v="2024-10-25T00:00:00"/>
    <x v="3"/>
    <x v="0"/>
    <x v="2"/>
    <x v="3"/>
    <n v="8"/>
    <n v="358341"/>
    <n v="304589.84999999998"/>
    <n v="53751.150000000023"/>
    <n v="0.15000000000000008"/>
  </r>
  <r>
    <n v="1016"/>
    <d v="2024-12-12T00:00:00"/>
    <x v="1"/>
    <x v="2"/>
    <x v="5"/>
    <x v="1"/>
    <n v="7"/>
    <n v="289313"/>
    <n v="240129.79"/>
    <n v="49183.209999999992"/>
    <n v="0.16999999999999998"/>
  </r>
  <r>
    <n v="1017"/>
    <d v="2024-11-22T00:00:00"/>
    <x v="9"/>
    <x v="3"/>
    <x v="6"/>
    <x v="1"/>
    <n v="4"/>
    <n v="409069"/>
    <n v="298620.37"/>
    <n v="110448.63"/>
    <n v="0.27"/>
  </r>
  <r>
    <n v="1018"/>
    <d v="2024-04-27T00:00:00"/>
    <x v="4"/>
    <x v="0"/>
    <x v="3"/>
    <x v="4"/>
    <n v="6"/>
    <n v="289297"/>
    <n v="243009.48"/>
    <n v="46287.51999999999"/>
    <n v="0.15999999999999998"/>
  </r>
  <r>
    <n v="1019"/>
    <d v="2024-10-21T00:00:00"/>
    <x v="3"/>
    <x v="0"/>
    <x v="0"/>
    <x v="2"/>
    <n v="10"/>
    <n v="189603"/>
    <n v="157370.49"/>
    <n v="32232.510000000009"/>
    <n v="0.17000000000000004"/>
  </r>
  <r>
    <n v="1020"/>
    <d v="2024-08-17T00:00:00"/>
    <x v="10"/>
    <x v="1"/>
    <x v="2"/>
    <x v="1"/>
    <n v="3"/>
    <n v="443785"/>
    <n v="368341.55"/>
    <n v="75443.450000000012"/>
    <n v="0.17000000000000004"/>
  </r>
  <r>
    <n v="1021"/>
    <d v="2024-02-02T00:00:00"/>
    <x v="5"/>
    <x v="1"/>
    <x v="6"/>
    <x v="4"/>
    <n v="7"/>
    <n v="269751"/>
    <n v="196918.23"/>
    <n v="72832.76999999999"/>
    <n v="0.26999999999999996"/>
  </r>
  <r>
    <n v="1022"/>
    <d v="2024-06-20T00:00:00"/>
    <x v="11"/>
    <x v="0"/>
    <x v="3"/>
    <x v="1"/>
    <n v="9"/>
    <n v="281371"/>
    <n v="219469.38"/>
    <n v="61901.619999999995"/>
    <n v="0.21999999999999997"/>
  </r>
  <r>
    <n v="1023"/>
    <d v="2024-06-28T00:00:00"/>
    <x v="11"/>
    <x v="2"/>
    <x v="2"/>
    <x v="1"/>
    <n v="9"/>
    <n v="356083"/>
    <n v="267062.25"/>
    <n v="89020.75"/>
    <n v="0.25"/>
  </r>
  <r>
    <n v="1024"/>
    <d v="2024-11-30T00:00:00"/>
    <x v="9"/>
    <x v="0"/>
    <x v="2"/>
    <x v="2"/>
    <n v="10"/>
    <n v="434838"/>
    <n v="278296.32000000001"/>
    <n v="156541.68"/>
    <n v="0.36"/>
  </r>
  <r>
    <n v="1025"/>
    <d v="2024-09-30T00:00:00"/>
    <x v="8"/>
    <x v="0"/>
    <x v="2"/>
    <x v="2"/>
    <n v="1"/>
    <n v="192644"/>
    <n v="142556.56"/>
    <n v="50087.44"/>
    <n v="0.26"/>
  </r>
  <r>
    <n v="1026"/>
    <d v="2024-02-19T00:00:00"/>
    <x v="5"/>
    <x v="2"/>
    <x v="5"/>
    <x v="3"/>
    <n v="4"/>
    <n v="112415"/>
    <n v="82062.95"/>
    <n v="30352.050000000003"/>
    <n v="0.27"/>
  </r>
  <r>
    <n v="1027"/>
    <d v="2024-05-09T00:00:00"/>
    <x v="2"/>
    <x v="3"/>
    <x v="2"/>
    <x v="0"/>
    <n v="4"/>
    <n v="181073"/>
    <n v="117697.45"/>
    <n v="63375.55"/>
    <n v="0.35000000000000003"/>
  </r>
  <r>
    <n v="1028"/>
    <d v="2024-12-12T00:00:00"/>
    <x v="1"/>
    <x v="3"/>
    <x v="5"/>
    <x v="2"/>
    <n v="9"/>
    <n v="482969"/>
    <n v="405693.96"/>
    <n v="77275.039999999979"/>
    <n v="0.15999999999999995"/>
  </r>
  <r>
    <n v="1029"/>
    <d v="2024-09-15T00:00:00"/>
    <x v="8"/>
    <x v="1"/>
    <x v="6"/>
    <x v="3"/>
    <n v="1"/>
    <n v="469414"/>
    <n v="394307.76"/>
    <n v="75106.239999999991"/>
    <n v="0.15999999999999998"/>
  </r>
  <r>
    <n v="1030"/>
    <d v="2024-11-15T00:00:00"/>
    <x v="9"/>
    <x v="3"/>
    <x v="1"/>
    <x v="1"/>
    <n v="3"/>
    <n v="453038"/>
    <n v="407734.2"/>
    <n v="45303.799999999988"/>
    <n v="9.9999999999999978E-2"/>
  </r>
  <r>
    <n v="1031"/>
    <d v="2024-06-30T00:00:00"/>
    <x v="11"/>
    <x v="1"/>
    <x v="5"/>
    <x v="0"/>
    <n v="5"/>
    <n v="301266"/>
    <n v="213898.86"/>
    <n v="87367.140000000014"/>
    <n v="0.29000000000000004"/>
  </r>
  <r>
    <n v="1032"/>
    <d v="2024-05-09T00:00:00"/>
    <x v="2"/>
    <x v="2"/>
    <x v="7"/>
    <x v="3"/>
    <n v="1"/>
    <n v="483915"/>
    <n v="377453.7"/>
    <n v="106461.29999999999"/>
    <n v="0.21999999999999997"/>
  </r>
  <r>
    <n v="1033"/>
    <d v="2024-12-01T00:00:00"/>
    <x v="1"/>
    <x v="0"/>
    <x v="3"/>
    <x v="0"/>
    <n v="1"/>
    <n v="164829"/>
    <n v="117028.59"/>
    <n v="47800.41"/>
    <n v="0.29000000000000004"/>
  </r>
  <r>
    <n v="1034"/>
    <d v="2024-03-04T00:00:00"/>
    <x v="7"/>
    <x v="3"/>
    <x v="5"/>
    <x v="4"/>
    <n v="3"/>
    <n v="155518"/>
    <n v="115083.32"/>
    <n v="40434.679999999993"/>
    <n v="0.25999999999999995"/>
  </r>
  <r>
    <n v="1035"/>
    <d v="2024-08-07T00:00:00"/>
    <x v="10"/>
    <x v="3"/>
    <x v="1"/>
    <x v="4"/>
    <n v="8"/>
    <n v="338026"/>
    <n v="239998.46"/>
    <n v="98027.540000000008"/>
    <n v="0.29000000000000004"/>
  </r>
  <r>
    <n v="1036"/>
    <d v="2024-06-29T00:00:00"/>
    <x v="11"/>
    <x v="3"/>
    <x v="7"/>
    <x v="0"/>
    <n v="5"/>
    <n v="148349"/>
    <n v="129063.63"/>
    <n v="19285.369999999995"/>
    <n v="0.12999999999999998"/>
  </r>
  <r>
    <n v="1037"/>
    <d v="2024-03-04T00:00:00"/>
    <x v="7"/>
    <x v="0"/>
    <x v="2"/>
    <x v="0"/>
    <n v="9"/>
    <n v="393361"/>
    <n v="346157.68"/>
    <n v="47203.320000000007"/>
    <n v="0.12000000000000002"/>
  </r>
  <r>
    <n v="1038"/>
    <d v="2024-12-08T00:00:00"/>
    <x v="1"/>
    <x v="1"/>
    <x v="2"/>
    <x v="1"/>
    <n v="10"/>
    <n v="418173"/>
    <n v="280175.90999999997"/>
    <n v="137997.09000000003"/>
    <n v="0.33000000000000007"/>
  </r>
  <r>
    <n v="1039"/>
    <d v="2024-03-04T00:00:00"/>
    <x v="7"/>
    <x v="0"/>
    <x v="7"/>
    <x v="2"/>
    <n v="4"/>
    <n v="325918"/>
    <n v="280289.48"/>
    <n v="45628.520000000019"/>
    <n v="0.14000000000000007"/>
  </r>
  <r>
    <n v="1040"/>
    <d v="2024-11-11T00:00:00"/>
    <x v="9"/>
    <x v="1"/>
    <x v="7"/>
    <x v="0"/>
    <n v="8"/>
    <n v="317927"/>
    <n v="279775.76"/>
    <n v="38151.239999999991"/>
    <n v="0.11999999999999997"/>
  </r>
  <r>
    <n v="1041"/>
    <d v="2024-05-01T00:00:00"/>
    <x v="2"/>
    <x v="3"/>
    <x v="0"/>
    <x v="4"/>
    <n v="5"/>
    <n v="273091"/>
    <n v="182970.97"/>
    <n v="90120.03"/>
    <n v="0.33"/>
  </r>
  <r>
    <n v="1042"/>
    <d v="2024-08-28T00:00:00"/>
    <x v="10"/>
    <x v="0"/>
    <x v="6"/>
    <x v="3"/>
    <n v="6"/>
    <n v="115603"/>
    <n v="94794.46"/>
    <n v="20808.539999999994"/>
    <n v="0.17999999999999994"/>
  </r>
  <r>
    <n v="1043"/>
    <d v="2024-12-05T00:00:00"/>
    <x v="1"/>
    <x v="3"/>
    <x v="1"/>
    <x v="2"/>
    <n v="10"/>
    <n v="490769"/>
    <n v="368076.75"/>
    <n v="122692.25"/>
    <n v="0.25"/>
  </r>
  <r>
    <n v="1044"/>
    <d v="2024-03-08T00:00:00"/>
    <x v="7"/>
    <x v="3"/>
    <x v="5"/>
    <x v="2"/>
    <n v="8"/>
    <n v="377726"/>
    <n v="309735.32"/>
    <n v="67990.679999999993"/>
    <n v="0.18"/>
  </r>
  <r>
    <n v="1045"/>
    <d v="2024-09-04T00:00:00"/>
    <x v="8"/>
    <x v="1"/>
    <x v="3"/>
    <x v="0"/>
    <n v="2"/>
    <n v="137366"/>
    <n v="98903.52"/>
    <n v="38462.479999999996"/>
    <n v="0.27999999999999997"/>
  </r>
  <r>
    <n v="1046"/>
    <d v="2024-10-17T00:00:00"/>
    <x v="3"/>
    <x v="0"/>
    <x v="0"/>
    <x v="1"/>
    <n v="3"/>
    <n v="136073"/>
    <n v="110219.13"/>
    <n v="25853.869999999995"/>
    <n v="0.18999999999999997"/>
  </r>
  <r>
    <n v="1047"/>
    <d v="2024-04-09T00:00:00"/>
    <x v="4"/>
    <x v="3"/>
    <x v="2"/>
    <x v="0"/>
    <n v="1"/>
    <n v="432121"/>
    <n v="293842.28000000003"/>
    <n v="138278.71999999997"/>
    <n v="0.31999999999999995"/>
  </r>
  <r>
    <n v="1048"/>
    <d v="2024-03-17T00:00:00"/>
    <x v="7"/>
    <x v="2"/>
    <x v="7"/>
    <x v="4"/>
    <n v="9"/>
    <n v="123098"/>
    <n v="109557.22"/>
    <n v="13540.779999999999"/>
    <n v="0.10999999999999999"/>
  </r>
  <r>
    <n v="1049"/>
    <d v="2024-05-06T00:00:00"/>
    <x v="2"/>
    <x v="2"/>
    <x v="2"/>
    <x v="4"/>
    <n v="1"/>
    <n v="109962"/>
    <n v="67076.820000000007"/>
    <n v="42885.179999999993"/>
    <n v="0.38999999999999996"/>
  </r>
  <r>
    <n v="1050"/>
    <d v="2024-10-13T00:00:00"/>
    <x v="3"/>
    <x v="2"/>
    <x v="4"/>
    <x v="4"/>
    <n v="9"/>
    <n v="265887"/>
    <n v="170167.67999999999"/>
    <n v="95719.32"/>
    <n v="0.36000000000000004"/>
  </r>
  <r>
    <n v="1051"/>
    <d v="2024-06-15T00:00:00"/>
    <x v="11"/>
    <x v="1"/>
    <x v="6"/>
    <x v="3"/>
    <n v="4"/>
    <n v="435416"/>
    <n v="348332.79999999999"/>
    <n v="87083.200000000012"/>
    <n v="0.20000000000000004"/>
  </r>
  <r>
    <n v="1052"/>
    <d v="2024-07-06T00:00:00"/>
    <x v="0"/>
    <x v="1"/>
    <x v="3"/>
    <x v="2"/>
    <n v="2"/>
    <n v="422237"/>
    <n v="266009.31"/>
    <n v="156227.69"/>
    <n v="0.37"/>
  </r>
  <r>
    <n v="1053"/>
    <d v="2024-03-20T00:00:00"/>
    <x v="7"/>
    <x v="3"/>
    <x v="6"/>
    <x v="2"/>
    <n v="10"/>
    <n v="470977"/>
    <n v="334393.67"/>
    <n v="136583.33000000002"/>
    <n v="0.29000000000000004"/>
  </r>
  <r>
    <n v="1054"/>
    <d v="2024-01-25T00:00:00"/>
    <x v="6"/>
    <x v="3"/>
    <x v="1"/>
    <x v="4"/>
    <n v="10"/>
    <n v="165847"/>
    <n v="112775.96"/>
    <n v="53071.039999999994"/>
    <n v="0.31999999999999995"/>
  </r>
  <r>
    <n v="1055"/>
    <d v="2024-02-23T00:00:00"/>
    <x v="5"/>
    <x v="3"/>
    <x v="5"/>
    <x v="0"/>
    <n v="5"/>
    <n v="449250"/>
    <n v="269550"/>
    <n v="179700"/>
    <n v="0.4"/>
  </r>
  <r>
    <n v="1056"/>
    <d v="2024-10-03T00:00:00"/>
    <x v="3"/>
    <x v="3"/>
    <x v="7"/>
    <x v="4"/>
    <n v="3"/>
    <n v="219119"/>
    <n v="133662.59"/>
    <n v="85456.41"/>
    <n v="0.39"/>
  </r>
  <r>
    <n v="1057"/>
    <d v="2024-01-19T00:00:00"/>
    <x v="6"/>
    <x v="2"/>
    <x v="7"/>
    <x v="4"/>
    <n v="8"/>
    <n v="178327"/>
    <n v="119479.09"/>
    <n v="58847.91"/>
    <n v="0.33"/>
  </r>
  <r>
    <n v="1058"/>
    <d v="2024-06-16T00:00:00"/>
    <x v="11"/>
    <x v="3"/>
    <x v="2"/>
    <x v="1"/>
    <n v="4"/>
    <n v="257646"/>
    <n v="157164.06"/>
    <n v="100481.94"/>
    <n v="0.39"/>
  </r>
  <r>
    <n v="1059"/>
    <d v="2024-07-08T00:00:00"/>
    <x v="0"/>
    <x v="3"/>
    <x v="1"/>
    <x v="1"/>
    <n v="6"/>
    <n v="316848"/>
    <n v="256646.88"/>
    <n v="60201.119999999995"/>
    <n v="0.18999999999999997"/>
  </r>
  <r>
    <n v="1060"/>
    <d v="2024-05-30T00:00:00"/>
    <x v="2"/>
    <x v="3"/>
    <x v="6"/>
    <x v="3"/>
    <n v="5"/>
    <n v="481501"/>
    <n v="390015.81"/>
    <n v="91485.19"/>
    <n v="0.19"/>
  </r>
  <r>
    <n v="1061"/>
    <d v="2024-03-17T00:00:00"/>
    <x v="7"/>
    <x v="0"/>
    <x v="2"/>
    <x v="0"/>
    <n v="8"/>
    <n v="493788"/>
    <n v="325900.08"/>
    <n v="167887.91999999998"/>
    <n v="0.33999999999999997"/>
  </r>
  <r>
    <n v="1062"/>
    <d v="2024-12-23T00:00:00"/>
    <x v="1"/>
    <x v="3"/>
    <x v="4"/>
    <x v="3"/>
    <n v="8"/>
    <n v="352331"/>
    <n v="232538.46"/>
    <n v="119792.54000000001"/>
    <n v="0.34"/>
  </r>
  <r>
    <n v="1063"/>
    <d v="2024-03-08T00:00:00"/>
    <x v="7"/>
    <x v="0"/>
    <x v="7"/>
    <x v="3"/>
    <n v="2"/>
    <n v="348977"/>
    <n v="209386.2"/>
    <n v="139590.79999999999"/>
    <n v="0.39999999999999997"/>
  </r>
  <r>
    <n v="1064"/>
    <d v="2024-05-07T00:00:00"/>
    <x v="2"/>
    <x v="1"/>
    <x v="3"/>
    <x v="3"/>
    <n v="6"/>
    <n v="447691"/>
    <n v="313383.7"/>
    <n v="134307.29999999999"/>
    <n v="0.3"/>
  </r>
  <r>
    <n v="1065"/>
    <d v="2024-10-19T00:00:00"/>
    <x v="3"/>
    <x v="1"/>
    <x v="6"/>
    <x v="2"/>
    <n v="5"/>
    <n v="307587"/>
    <n v="236841.99"/>
    <n v="70745.010000000009"/>
    <n v="0.23000000000000004"/>
  </r>
  <r>
    <n v="1066"/>
    <d v="2024-11-16T00:00:00"/>
    <x v="9"/>
    <x v="0"/>
    <x v="5"/>
    <x v="3"/>
    <n v="10"/>
    <n v="423443"/>
    <n v="330285.53999999998"/>
    <n v="93157.460000000021"/>
    <n v="0.22000000000000006"/>
  </r>
  <r>
    <n v="1067"/>
    <d v="2024-07-31T00:00:00"/>
    <x v="0"/>
    <x v="1"/>
    <x v="4"/>
    <x v="1"/>
    <n v="7"/>
    <n v="196873"/>
    <n v="135842.37"/>
    <n v="61030.630000000005"/>
    <n v="0.31"/>
  </r>
  <r>
    <n v="1068"/>
    <d v="2024-01-16T00:00:00"/>
    <x v="6"/>
    <x v="3"/>
    <x v="0"/>
    <x v="4"/>
    <n v="3"/>
    <n v="147583"/>
    <n v="88549.8"/>
    <n v="59033.2"/>
    <n v="0.39999999999999997"/>
  </r>
  <r>
    <n v="1069"/>
    <d v="2024-06-03T00:00:00"/>
    <x v="11"/>
    <x v="1"/>
    <x v="6"/>
    <x v="2"/>
    <n v="9"/>
    <n v="346706"/>
    <n v="214957.72"/>
    <n v="131748.28"/>
    <n v="0.38"/>
  </r>
  <r>
    <n v="1070"/>
    <d v="2024-11-23T00:00:00"/>
    <x v="9"/>
    <x v="3"/>
    <x v="4"/>
    <x v="4"/>
    <n v="2"/>
    <n v="380781"/>
    <n v="327471.65999999997"/>
    <n v="53309.340000000026"/>
    <n v="0.14000000000000007"/>
  </r>
  <r>
    <n v="1071"/>
    <d v="2024-11-03T00:00:00"/>
    <x v="9"/>
    <x v="0"/>
    <x v="4"/>
    <x v="4"/>
    <n v="10"/>
    <n v="212862"/>
    <n v="146874.78"/>
    <n v="65987.22"/>
    <n v="0.31"/>
  </r>
  <r>
    <n v="1072"/>
    <d v="2024-06-01T00:00:00"/>
    <x v="11"/>
    <x v="2"/>
    <x v="4"/>
    <x v="1"/>
    <n v="6"/>
    <n v="234497"/>
    <n v="201667.42"/>
    <n v="32829.579999999987"/>
    <n v="0.13999999999999996"/>
  </r>
  <r>
    <n v="1073"/>
    <d v="2024-07-20T00:00:00"/>
    <x v="0"/>
    <x v="0"/>
    <x v="3"/>
    <x v="1"/>
    <n v="6"/>
    <n v="485768"/>
    <n v="354610.64"/>
    <n v="131157.35999999999"/>
    <n v="0.26999999999999996"/>
  </r>
  <r>
    <n v="1074"/>
    <d v="2024-02-03T00:00:00"/>
    <x v="5"/>
    <x v="2"/>
    <x v="7"/>
    <x v="4"/>
    <n v="6"/>
    <n v="389667"/>
    <n v="339010.29"/>
    <n v="50656.710000000021"/>
    <n v="0.13000000000000006"/>
  </r>
  <r>
    <n v="1075"/>
    <d v="2024-10-06T00:00:00"/>
    <x v="3"/>
    <x v="0"/>
    <x v="7"/>
    <x v="0"/>
    <n v="8"/>
    <n v="163174"/>
    <n v="135434.42000000001"/>
    <n v="27739.579999999987"/>
    <n v="0.16999999999999993"/>
  </r>
  <r>
    <n v="1076"/>
    <d v="2024-11-17T00:00:00"/>
    <x v="9"/>
    <x v="1"/>
    <x v="2"/>
    <x v="3"/>
    <n v="10"/>
    <n v="243010"/>
    <n v="145806"/>
    <n v="97204"/>
    <n v="0.4"/>
  </r>
  <r>
    <n v="1077"/>
    <d v="2024-06-19T00:00:00"/>
    <x v="11"/>
    <x v="2"/>
    <x v="3"/>
    <x v="1"/>
    <n v="4"/>
    <n v="341526"/>
    <n v="242483.46"/>
    <n v="99042.540000000008"/>
    <n v="0.29000000000000004"/>
  </r>
  <r>
    <n v="1078"/>
    <d v="2024-12-19T00:00:00"/>
    <x v="1"/>
    <x v="0"/>
    <x v="0"/>
    <x v="4"/>
    <n v="10"/>
    <n v="252504"/>
    <n v="181802.88"/>
    <n v="70701.119999999995"/>
    <n v="0.27999999999999997"/>
  </r>
  <r>
    <n v="1079"/>
    <d v="2024-11-09T00:00:00"/>
    <x v="9"/>
    <x v="0"/>
    <x v="4"/>
    <x v="1"/>
    <n v="9"/>
    <n v="119359"/>
    <n v="106229.51"/>
    <n v="13129.490000000005"/>
    <n v="0.11000000000000004"/>
  </r>
  <r>
    <n v="1080"/>
    <d v="2024-09-26T00:00:00"/>
    <x v="8"/>
    <x v="1"/>
    <x v="7"/>
    <x v="0"/>
    <n v="9"/>
    <n v="250064"/>
    <n v="222556.96"/>
    <n v="27507.040000000008"/>
    <n v="0.11000000000000003"/>
  </r>
  <r>
    <n v="1081"/>
    <d v="2024-01-03T00:00:00"/>
    <x v="6"/>
    <x v="0"/>
    <x v="4"/>
    <x v="4"/>
    <n v="9"/>
    <n v="378160"/>
    <n v="234459.2"/>
    <n v="143700.79999999999"/>
    <n v="0.37999999999999995"/>
  </r>
  <r>
    <n v="1082"/>
    <d v="2024-08-01T00:00:00"/>
    <x v="10"/>
    <x v="0"/>
    <x v="6"/>
    <x v="2"/>
    <n v="8"/>
    <n v="479049"/>
    <n v="354496.26"/>
    <n v="124552.73999999999"/>
    <n v="0.25999999999999995"/>
  </r>
  <r>
    <n v="1083"/>
    <d v="2024-10-05T00:00:00"/>
    <x v="3"/>
    <x v="3"/>
    <x v="1"/>
    <x v="4"/>
    <n v="10"/>
    <n v="289821"/>
    <n v="179689.02"/>
    <n v="110131.98000000001"/>
    <n v="0.38000000000000006"/>
  </r>
  <r>
    <n v="1084"/>
    <d v="2024-04-23T00:00:00"/>
    <x v="4"/>
    <x v="3"/>
    <x v="4"/>
    <x v="0"/>
    <n v="6"/>
    <n v="174322"/>
    <n v="111566.08"/>
    <n v="62755.92"/>
    <n v="0.36"/>
  </r>
  <r>
    <n v="1085"/>
    <d v="2024-11-04T00:00:00"/>
    <x v="9"/>
    <x v="0"/>
    <x v="3"/>
    <x v="1"/>
    <n v="3"/>
    <n v="448682"/>
    <n v="340998.32"/>
    <n v="107683.68"/>
    <n v="0.24"/>
  </r>
  <r>
    <n v="1086"/>
    <d v="2024-05-20T00:00:00"/>
    <x v="2"/>
    <x v="3"/>
    <x v="3"/>
    <x v="4"/>
    <n v="10"/>
    <n v="121712"/>
    <n v="103455.2"/>
    <n v="18256.800000000003"/>
    <n v="0.15000000000000002"/>
  </r>
  <r>
    <n v="1087"/>
    <d v="2024-12-21T00:00:00"/>
    <x v="1"/>
    <x v="2"/>
    <x v="5"/>
    <x v="2"/>
    <n v="2"/>
    <n v="463743"/>
    <n v="347807.25"/>
    <n v="115935.75"/>
    <n v="0.25"/>
  </r>
  <r>
    <n v="1088"/>
    <d v="2024-05-02T00:00:00"/>
    <x v="2"/>
    <x v="0"/>
    <x v="5"/>
    <x v="1"/>
    <n v="9"/>
    <n v="217507"/>
    <n v="147904.76"/>
    <n v="69602.239999999991"/>
    <n v="0.31999999999999995"/>
  </r>
  <r>
    <n v="1089"/>
    <d v="2024-10-07T00:00:00"/>
    <x v="3"/>
    <x v="2"/>
    <x v="7"/>
    <x v="4"/>
    <n v="3"/>
    <n v="373100"/>
    <n v="264901"/>
    <n v="108199"/>
    <n v="0.28999999999999998"/>
  </r>
  <r>
    <n v="1090"/>
    <d v="2024-11-02T00:00:00"/>
    <x v="9"/>
    <x v="3"/>
    <x v="6"/>
    <x v="0"/>
    <n v="6"/>
    <n v="293192"/>
    <n v="214030.16"/>
    <n v="79161.84"/>
    <n v="0.26999999999999996"/>
  </r>
  <r>
    <n v="1091"/>
    <d v="2024-05-09T00:00:00"/>
    <x v="2"/>
    <x v="2"/>
    <x v="7"/>
    <x v="2"/>
    <n v="6"/>
    <n v="206547"/>
    <n v="165237.6"/>
    <n v="41309.399999999994"/>
    <n v="0.19999999999999998"/>
  </r>
  <r>
    <n v="1092"/>
    <d v="2024-01-04T00:00:00"/>
    <x v="6"/>
    <x v="2"/>
    <x v="4"/>
    <x v="3"/>
    <n v="8"/>
    <n v="250507"/>
    <n v="197900.53"/>
    <n v="52606.47"/>
    <n v="0.21"/>
  </r>
  <r>
    <n v="1093"/>
    <d v="2024-01-14T00:00:00"/>
    <x v="6"/>
    <x v="2"/>
    <x v="5"/>
    <x v="1"/>
    <n v="3"/>
    <n v="130533"/>
    <n v="113563.71"/>
    <n v="16969.289999999994"/>
    <n v="0.12999999999999995"/>
  </r>
  <r>
    <n v="1094"/>
    <d v="2024-09-30T00:00:00"/>
    <x v="8"/>
    <x v="0"/>
    <x v="2"/>
    <x v="0"/>
    <n v="7"/>
    <n v="386308"/>
    <n v="262689.44"/>
    <n v="123618.56"/>
    <n v="0.32"/>
  </r>
  <r>
    <n v="1095"/>
    <d v="2024-11-22T00:00:00"/>
    <x v="9"/>
    <x v="3"/>
    <x v="0"/>
    <x v="4"/>
    <n v="2"/>
    <n v="291287"/>
    <n v="177685.07"/>
    <n v="113601.93"/>
    <n v="0.38999999999999996"/>
  </r>
  <r>
    <n v="1096"/>
    <d v="2024-09-30T00:00:00"/>
    <x v="8"/>
    <x v="1"/>
    <x v="4"/>
    <x v="2"/>
    <n v="7"/>
    <n v="478929"/>
    <n v="330461.01"/>
    <n v="148467.99"/>
    <n v="0.31"/>
  </r>
  <r>
    <n v="1097"/>
    <d v="2024-06-30T00:00:00"/>
    <x v="11"/>
    <x v="1"/>
    <x v="3"/>
    <x v="4"/>
    <n v="7"/>
    <n v="499316"/>
    <n v="299589.59999999998"/>
    <n v="199726.40000000002"/>
    <n v="0.4"/>
  </r>
  <r>
    <n v="1098"/>
    <d v="2024-04-05T00:00:00"/>
    <x v="4"/>
    <x v="1"/>
    <x v="0"/>
    <x v="1"/>
    <n v="9"/>
    <n v="179604"/>
    <n v="109558.44"/>
    <n v="70045.56"/>
    <n v="0.39"/>
  </r>
  <r>
    <n v="1099"/>
    <d v="2024-10-05T00:00:00"/>
    <x v="3"/>
    <x v="2"/>
    <x v="1"/>
    <x v="0"/>
    <n v="3"/>
    <n v="245265"/>
    <n v="179043.45"/>
    <n v="66221.549999999988"/>
    <n v="0.26999999999999996"/>
  </r>
  <r>
    <n v="1100"/>
    <d v="2024-07-20T00:00:00"/>
    <x v="0"/>
    <x v="1"/>
    <x v="0"/>
    <x v="3"/>
    <n v="9"/>
    <n v="446839"/>
    <n v="353002.81"/>
    <n v="93836.19"/>
    <n v="0.21"/>
  </r>
  <r>
    <n v="1101"/>
    <d v="2024-08-22T00:00:00"/>
    <x v="10"/>
    <x v="3"/>
    <x v="3"/>
    <x v="4"/>
    <n v="5"/>
    <n v="121201"/>
    <n v="82416.679999999993"/>
    <n v="38784.320000000007"/>
    <n v="0.32000000000000006"/>
  </r>
  <r>
    <n v="1102"/>
    <d v="2024-11-16T00:00:00"/>
    <x v="9"/>
    <x v="1"/>
    <x v="5"/>
    <x v="4"/>
    <n v="8"/>
    <n v="280375"/>
    <n v="235515"/>
    <n v="44860"/>
    <n v="0.16"/>
  </r>
  <r>
    <n v="1103"/>
    <d v="2024-03-08T00:00:00"/>
    <x v="7"/>
    <x v="3"/>
    <x v="0"/>
    <x v="0"/>
    <n v="7"/>
    <n v="153606"/>
    <n v="124420.86"/>
    <n v="29185.14"/>
    <n v="0.19"/>
  </r>
  <r>
    <n v="1104"/>
    <d v="2024-09-13T00:00:00"/>
    <x v="8"/>
    <x v="0"/>
    <x v="7"/>
    <x v="3"/>
    <n v="7"/>
    <n v="267405"/>
    <n v="237990.45"/>
    <n v="29414.549999999988"/>
    <n v="0.10999999999999996"/>
  </r>
  <r>
    <n v="1105"/>
    <d v="2024-04-27T00:00:00"/>
    <x v="4"/>
    <x v="3"/>
    <x v="2"/>
    <x v="1"/>
    <n v="9"/>
    <n v="473888"/>
    <n v="374371.52"/>
    <n v="99516.479999999981"/>
    <n v="0.20999999999999996"/>
  </r>
  <r>
    <n v="1106"/>
    <d v="2024-04-09T00:00:00"/>
    <x v="4"/>
    <x v="2"/>
    <x v="6"/>
    <x v="4"/>
    <n v="4"/>
    <n v="188840"/>
    <n v="137853.20000000001"/>
    <n v="50986.799999999988"/>
    <n v="0.26999999999999996"/>
  </r>
  <r>
    <n v="1107"/>
    <d v="2024-03-18T00:00:00"/>
    <x v="7"/>
    <x v="0"/>
    <x v="1"/>
    <x v="1"/>
    <n v="6"/>
    <n v="440002"/>
    <n v="264001.2"/>
    <n v="176000.8"/>
    <n v="0.39999999999999997"/>
  </r>
  <r>
    <n v="1108"/>
    <d v="2024-12-29T00:00:00"/>
    <x v="1"/>
    <x v="1"/>
    <x v="1"/>
    <x v="2"/>
    <n v="5"/>
    <n v="253921"/>
    <n v="228528.9"/>
    <n v="25392.100000000006"/>
    <n v="0.10000000000000002"/>
  </r>
  <r>
    <n v="1109"/>
    <d v="2024-09-19T00:00:00"/>
    <x v="8"/>
    <x v="1"/>
    <x v="1"/>
    <x v="3"/>
    <n v="7"/>
    <n v="194721"/>
    <n v="161618.43"/>
    <n v="33102.570000000007"/>
    <n v="0.17000000000000004"/>
  </r>
  <r>
    <n v="1110"/>
    <d v="2024-11-25T00:00:00"/>
    <x v="9"/>
    <x v="1"/>
    <x v="5"/>
    <x v="3"/>
    <n v="10"/>
    <n v="359217"/>
    <n v="316110.96000000002"/>
    <n v="43106.039999999979"/>
    <n v="0.11999999999999994"/>
  </r>
  <r>
    <n v="1111"/>
    <d v="2024-01-15T00:00:00"/>
    <x v="6"/>
    <x v="0"/>
    <x v="0"/>
    <x v="1"/>
    <n v="10"/>
    <n v="288290"/>
    <n v="204685.9"/>
    <n v="83604.100000000006"/>
    <n v="0.29000000000000004"/>
  </r>
  <r>
    <n v="1112"/>
    <d v="2024-07-28T00:00:00"/>
    <x v="0"/>
    <x v="1"/>
    <x v="1"/>
    <x v="3"/>
    <n v="9"/>
    <n v="413485"/>
    <n v="351462.25"/>
    <n v="62022.75"/>
    <n v="0.15"/>
  </r>
  <r>
    <n v="1113"/>
    <d v="2024-04-03T00:00:00"/>
    <x v="4"/>
    <x v="0"/>
    <x v="4"/>
    <x v="1"/>
    <n v="6"/>
    <n v="182267"/>
    <n v="129409.57"/>
    <n v="52857.429999999993"/>
    <n v="0.28999999999999998"/>
  </r>
  <r>
    <n v="1114"/>
    <d v="2024-06-28T00:00:00"/>
    <x v="11"/>
    <x v="0"/>
    <x v="3"/>
    <x v="4"/>
    <n v="1"/>
    <n v="192979"/>
    <n v="144734.25"/>
    <n v="48244.75"/>
    <n v="0.25"/>
  </r>
  <r>
    <n v="1115"/>
    <d v="2024-01-17T00:00:00"/>
    <x v="6"/>
    <x v="3"/>
    <x v="3"/>
    <x v="0"/>
    <n v="8"/>
    <n v="100537"/>
    <n v="80429.600000000006"/>
    <n v="20107.399999999994"/>
    <n v="0.19999999999999996"/>
  </r>
  <r>
    <n v="1116"/>
    <d v="2024-06-29T00:00:00"/>
    <x v="11"/>
    <x v="0"/>
    <x v="5"/>
    <x v="3"/>
    <n v="3"/>
    <n v="176012"/>
    <n v="109127.44"/>
    <n v="66884.56"/>
    <n v="0.38"/>
  </r>
  <r>
    <n v="1117"/>
    <d v="2024-02-08T00:00:00"/>
    <x v="5"/>
    <x v="1"/>
    <x v="0"/>
    <x v="1"/>
    <n v="7"/>
    <n v="417432"/>
    <n v="283853.76"/>
    <n v="133578.23999999999"/>
    <n v="0.31999999999999995"/>
  </r>
  <r>
    <n v="1118"/>
    <d v="2024-04-05T00:00:00"/>
    <x v="4"/>
    <x v="0"/>
    <x v="0"/>
    <x v="4"/>
    <n v="6"/>
    <n v="409196"/>
    <n v="335540.71999999997"/>
    <n v="73655.280000000028"/>
    <n v="0.18000000000000008"/>
  </r>
  <r>
    <n v="1119"/>
    <d v="2024-10-14T00:00:00"/>
    <x v="3"/>
    <x v="2"/>
    <x v="6"/>
    <x v="4"/>
    <n v="7"/>
    <n v="349002"/>
    <n v="307121.76"/>
    <n v="41880.239999999991"/>
    <n v="0.11999999999999997"/>
  </r>
  <r>
    <n v="1120"/>
    <d v="2024-02-17T00:00:00"/>
    <x v="5"/>
    <x v="2"/>
    <x v="4"/>
    <x v="2"/>
    <n v="8"/>
    <n v="139295"/>
    <n v="118400.75"/>
    <n v="20894.25"/>
    <n v="0.15"/>
  </r>
  <r>
    <n v="1121"/>
    <d v="2024-11-22T00:00:00"/>
    <x v="9"/>
    <x v="3"/>
    <x v="3"/>
    <x v="3"/>
    <n v="8"/>
    <n v="453822"/>
    <n v="326751.84000000003"/>
    <n v="127070.15999999997"/>
    <n v="0.27999999999999997"/>
  </r>
  <r>
    <n v="1122"/>
    <d v="2024-12-08T00:00:00"/>
    <x v="1"/>
    <x v="2"/>
    <x v="6"/>
    <x v="3"/>
    <n v="10"/>
    <n v="128299"/>
    <n v="109054.15"/>
    <n v="19244.850000000006"/>
    <n v="0.15000000000000005"/>
  </r>
  <r>
    <n v="1123"/>
    <d v="2024-10-30T00:00:00"/>
    <x v="3"/>
    <x v="3"/>
    <x v="5"/>
    <x v="1"/>
    <n v="10"/>
    <n v="254085"/>
    <n v="223594.8"/>
    <n v="30490.200000000012"/>
    <n v="0.12000000000000005"/>
  </r>
  <r>
    <n v="1124"/>
    <d v="2024-01-04T00:00:00"/>
    <x v="6"/>
    <x v="0"/>
    <x v="0"/>
    <x v="2"/>
    <n v="3"/>
    <n v="387696"/>
    <n v="337295.52"/>
    <n v="50400.479999999981"/>
    <n v="0.12999999999999995"/>
  </r>
  <r>
    <n v="1125"/>
    <d v="2024-05-31T00:00:00"/>
    <x v="2"/>
    <x v="0"/>
    <x v="5"/>
    <x v="2"/>
    <n v="9"/>
    <n v="232844"/>
    <n v="146691.72"/>
    <n v="86152.28"/>
    <n v="0.37"/>
  </r>
  <r>
    <n v="1126"/>
    <d v="2024-03-24T00:00:00"/>
    <x v="7"/>
    <x v="0"/>
    <x v="6"/>
    <x v="1"/>
    <n v="8"/>
    <n v="466343"/>
    <n v="335766.96"/>
    <n v="130576.03999999998"/>
    <n v="0.27999999999999997"/>
  </r>
  <r>
    <n v="1127"/>
    <d v="2024-06-20T00:00:00"/>
    <x v="11"/>
    <x v="2"/>
    <x v="7"/>
    <x v="4"/>
    <n v="4"/>
    <n v="193994"/>
    <n v="137735.74"/>
    <n v="56258.260000000009"/>
    <n v="0.29000000000000004"/>
  </r>
  <r>
    <n v="1128"/>
    <d v="2024-06-24T00:00:00"/>
    <x v="11"/>
    <x v="0"/>
    <x v="6"/>
    <x v="3"/>
    <n v="4"/>
    <n v="404446"/>
    <n v="262889.90000000002"/>
    <n v="141556.09999999998"/>
    <n v="0.34999999999999992"/>
  </r>
  <r>
    <n v="1129"/>
    <d v="2024-10-07T00:00:00"/>
    <x v="3"/>
    <x v="1"/>
    <x v="5"/>
    <x v="2"/>
    <n v="6"/>
    <n v="155929"/>
    <n v="107591.01"/>
    <n v="48337.990000000005"/>
    <n v="0.31000000000000005"/>
  </r>
  <r>
    <n v="1130"/>
    <d v="2024-05-18T00:00:00"/>
    <x v="2"/>
    <x v="2"/>
    <x v="6"/>
    <x v="3"/>
    <n v="3"/>
    <n v="405876"/>
    <n v="308465.76"/>
    <n v="97410.239999999991"/>
    <n v="0.23999999999999996"/>
  </r>
  <r>
    <n v="1131"/>
    <d v="2024-08-19T00:00:00"/>
    <x v="10"/>
    <x v="2"/>
    <x v="6"/>
    <x v="1"/>
    <n v="4"/>
    <n v="204171"/>
    <n v="159253.38"/>
    <n v="44917.619999999995"/>
    <n v="0.21999999999999997"/>
  </r>
  <r>
    <n v="1132"/>
    <d v="2024-10-15T00:00:00"/>
    <x v="3"/>
    <x v="3"/>
    <x v="0"/>
    <x v="1"/>
    <n v="9"/>
    <n v="150647"/>
    <n v="97920.55"/>
    <n v="52726.45"/>
    <n v="0.35"/>
  </r>
  <r>
    <n v="1133"/>
    <d v="2024-06-15T00:00:00"/>
    <x v="11"/>
    <x v="3"/>
    <x v="3"/>
    <x v="1"/>
    <n v="4"/>
    <n v="280018"/>
    <n v="238015.3"/>
    <n v="42002.700000000012"/>
    <n v="0.15000000000000005"/>
  </r>
  <r>
    <n v="1134"/>
    <d v="2024-09-14T00:00:00"/>
    <x v="8"/>
    <x v="0"/>
    <x v="5"/>
    <x v="3"/>
    <n v="4"/>
    <n v="436653"/>
    <n v="310023.63"/>
    <n v="126629.37"/>
    <n v="0.28999999999999998"/>
  </r>
  <r>
    <n v="1135"/>
    <d v="2024-04-11T00:00:00"/>
    <x v="4"/>
    <x v="1"/>
    <x v="7"/>
    <x v="4"/>
    <n v="3"/>
    <n v="369347"/>
    <n v="328718.83"/>
    <n v="40628.169999999984"/>
    <n v="0.10999999999999996"/>
  </r>
  <r>
    <n v="1136"/>
    <d v="2024-06-30T00:00:00"/>
    <x v="11"/>
    <x v="3"/>
    <x v="7"/>
    <x v="0"/>
    <n v="8"/>
    <n v="459424"/>
    <n v="317002.56"/>
    <n v="142421.44"/>
    <n v="0.31"/>
  </r>
  <r>
    <n v="1137"/>
    <d v="2024-12-09T00:00:00"/>
    <x v="1"/>
    <x v="1"/>
    <x v="2"/>
    <x v="2"/>
    <n v="1"/>
    <n v="293813"/>
    <n v="196854.71"/>
    <n v="96958.290000000008"/>
    <n v="0.33"/>
  </r>
  <r>
    <n v="1138"/>
    <d v="2024-04-20T00:00:00"/>
    <x v="4"/>
    <x v="0"/>
    <x v="4"/>
    <x v="4"/>
    <n v="9"/>
    <n v="478745"/>
    <n v="306396.79999999999"/>
    <n v="172348.2"/>
    <n v="0.36000000000000004"/>
  </r>
  <r>
    <n v="1139"/>
    <d v="2024-09-28T00:00:00"/>
    <x v="8"/>
    <x v="1"/>
    <x v="1"/>
    <x v="3"/>
    <n v="8"/>
    <n v="429473"/>
    <n v="313515.28999999998"/>
    <n v="115957.71000000002"/>
    <n v="0.27000000000000007"/>
  </r>
  <r>
    <n v="1140"/>
    <d v="2024-04-22T00:00:00"/>
    <x v="4"/>
    <x v="2"/>
    <x v="4"/>
    <x v="1"/>
    <n v="9"/>
    <n v="304105"/>
    <n v="261530.3"/>
    <n v="42574.700000000012"/>
    <n v="0.14000000000000004"/>
  </r>
  <r>
    <n v="1141"/>
    <d v="2024-10-29T00:00:00"/>
    <x v="3"/>
    <x v="3"/>
    <x v="3"/>
    <x v="2"/>
    <n v="8"/>
    <n v="431132"/>
    <n v="340594.28"/>
    <n v="90537.719999999972"/>
    <n v="0.20999999999999994"/>
  </r>
  <r>
    <n v="1142"/>
    <d v="2024-07-12T00:00:00"/>
    <x v="0"/>
    <x v="0"/>
    <x v="6"/>
    <x v="1"/>
    <n v="3"/>
    <n v="316430"/>
    <n v="253144"/>
    <n v="63286"/>
    <n v="0.2"/>
  </r>
  <r>
    <n v="1143"/>
    <d v="2024-07-21T00:00:00"/>
    <x v="0"/>
    <x v="3"/>
    <x v="5"/>
    <x v="3"/>
    <n v="5"/>
    <n v="288344"/>
    <n v="236442.08"/>
    <n v="51901.920000000013"/>
    <n v="0.18000000000000005"/>
  </r>
  <r>
    <n v="1144"/>
    <d v="2024-01-05T00:00:00"/>
    <x v="6"/>
    <x v="0"/>
    <x v="4"/>
    <x v="3"/>
    <n v="4"/>
    <n v="216547"/>
    <n v="142921.01999999999"/>
    <n v="73625.98000000001"/>
    <n v="0.34"/>
  </r>
  <r>
    <n v="1145"/>
    <d v="2024-11-05T00:00:00"/>
    <x v="9"/>
    <x v="1"/>
    <x v="2"/>
    <x v="1"/>
    <n v="8"/>
    <n v="289009"/>
    <n v="234097.29"/>
    <n v="54911.709999999992"/>
    <n v="0.18999999999999997"/>
  </r>
  <r>
    <n v="1146"/>
    <d v="2024-10-08T00:00:00"/>
    <x v="3"/>
    <x v="1"/>
    <x v="3"/>
    <x v="1"/>
    <n v="8"/>
    <n v="472135"/>
    <n v="292723.7"/>
    <n v="179411.3"/>
    <n v="0.37999999999999995"/>
  </r>
  <r>
    <n v="1147"/>
    <d v="2024-10-24T00:00:00"/>
    <x v="3"/>
    <x v="1"/>
    <x v="2"/>
    <x v="3"/>
    <n v="9"/>
    <n v="184134"/>
    <n v="116004.42"/>
    <n v="68129.58"/>
    <n v="0.37"/>
  </r>
  <r>
    <n v="1148"/>
    <d v="2024-02-20T00:00:00"/>
    <x v="5"/>
    <x v="3"/>
    <x v="1"/>
    <x v="3"/>
    <n v="1"/>
    <n v="458949"/>
    <n v="403875.12"/>
    <n v="55073.880000000005"/>
    <n v="0.12000000000000001"/>
  </r>
  <r>
    <n v="1149"/>
    <d v="2024-09-05T00:00:00"/>
    <x v="8"/>
    <x v="2"/>
    <x v="5"/>
    <x v="4"/>
    <n v="3"/>
    <n v="104835"/>
    <n v="76529.55"/>
    <n v="28305.449999999997"/>
    <n v="0.26999999999999996"/>
  </r>
  <r>
    <n v="1150"/>
    <d v="2024-04-07T00:00:00"/>
    <x v="4"/>
    <x v="2"/>
    <x v="2"/>
    <x v="3"/>
    <n v="3"/>
    <n v="486597"/>
    <n v="360081.78"/>
    <n v="126515.21999999997"/>
    <n v="0.25999999999999995"/>
  </r>
  <r>
    <n v="1151"/>
    <d v="2024-02-02T00:00:00"/>
    <x v="5"/>
    <x v="3"/>
    <x v="1"/>
    <x v="3"/>
    <n v="8"/>
    <n v="247969"/>
    <n v="168618.92"/>
    <n v="79350.079999999987"/>
    <n v="0.31999999999999995"/>
  </r>
  <r>
    <n v="1152"/>
    <d v="2024-08-04T00:00:00"/>
    <x v="10"/>
    <x v="1"/>
    <x v="1"/>
    <x v="2"/>
    <n v="10"/>
    <n v="449678"/>
    <n v="296787.48"/>
    <n v="152890.52000000002"/>
    <n v="0.34"/>
  </r>
  <r>
    <n v="1153"/>
    <d v="2024-11-23T00:00:00"/>
    <x v="9"/>
    <x v="3"/>
    <x v="0"/>
    <x v="2"/>
    <n v="2"/>
    <n v="128128"/>
    <n v="102502.39999999999"/>
    <n v="25625.600000000006"/>
    <n v="0.20000000000000004"/>
  </r>
  <r>
    <n v="1154"/>
    <d v="2024-10-10T00:00:00"/>
    <x v="3"/>
    <x v="0"/>
    <x v="5"/>
    <x v="0"/>
    <n v="6"/>
    <n v="188581"/>
    <n v="141435.75"/>
    <n v="47145.25"/>
    <n v="0.25"/>
  </r>
  <r>
    <n v="1155"/>
    <d v="2024-10-29T00:00:00"/>
    <x v="3"/>
    <x v="2"/>
    <x v="1"/>
    <x v="2"/>
    <n v="6"/>
    <n v="249120"/>
    <n v="191822.4"/>
    <n v="57297.600000000006"/>
    <n v="0.23"/>
  </r>
  <r>
    <n v="1156"/>
    <d v="2024-12-06T00:00:00"/>
    <x v="1"/>
    <x v="1"/>
    <x v="1"/>
    <x v="0"/>
    <n v="3"/>
    <n v="219740"/>
    <n v="195568.6"/>
    <n v="24171.399999999994"/>
    <n v="0.10999999999999997"/>
  </r>
  <r>
    <n v="1157"/>
    <d v="2024-12-17T00:00:00"/>
    <x v="1"/>
    <x v="1"/>
    <x v="4"/>
    <x v="0"/>
    <n v="9"/>
    <n v="338091"/>
    <n v="256949.16"/>
    <n v="81141.84"/>
    <n v="0.24"/>
  </r>
  <r>
    <n v="1158"/>
    <d v="2024-03-26T00:00:00"/>
    <x v="7"/>
    <x v="0"/>
    <x v="0"/>
    <x v="1"/>
    <n v="8"/>
    <n v="466507"/>
    <n v="289234.34000000003"/>
    <n v="177272.65999999997"/>
    <n v="0.37999999999999995"/>
  </r>
  <r>
    <n v="1159"/>
    <d v="2024-01-10T00:00:00"/>
    <x v="6"/>
    <x v="3"/>
    <x v="7"/>
    <x v="1"/>
    <n v="5"/>
    <n v="407472"/>
    <n v="256707.36"/>
    <n v="150764.64000000001"/>
    <n v="0.37000000000000005"/>
  </r>
  <r>
    <n v="1160"/>
    <d v="2024-07-14T00:00:00"/>
    <x v="0"/>
    <x v="2"/>
    <x v="4"/>
    <x v="3"/>
    <n v="6"/>
    <n v="238087"/>
    <n v="209516.56"/>
    <n v="28570.440000000002"/>
    <n v="0.12000000000000001"/>
  </r>
  <r>
    <n v="1161"/>
    <d v="2024-03-07T00:00:00"/>
    <x v="7"/>
    <x v="1"/>
    <x v="2"/>
    <x v="4"/>
    <n v="1"/>
    <n v="440018"/>
    <n v="308012.59999999998"/>
    <n v="132005.40000000002"/>
    <n v="0.30000000000000004"/>
  </r>
  <r>
    <n v="1162"/>
    <d v="2024-04-12T00:00:00"/>
    <x v="4"/>
    <x v="3"/>
    <x v="7"/>
    <x v="0"/>
    <n v="9"/>
    <n v="119524"/>
    <n v="96814.44"/>
    <n v="22709.559999999998"/>
    <n v="0.18999999999999997"/>
  </r>
  <r>
    <n v="1163"/>
    <d v="2024-09-12T00:00:00"/>
    <x v="8"/>
    <x v="3"/>
    <x v="6"/>
    <x v="4"/>
    <n v="1"/>
    <n v="332317"/>
    <n v="209359.71"/>
    <n v="122957.29000000001"/>
    <n v="0.37000000000000005"/>
  </r>
  <r>
    <n v="1164"/>
    <d v="2024-03-08T00:00:00"/>
    <x v="7"/>
    <x v="2"/>
    <x v="6"/>
    <x v="4"/>
    <n v="5"/>
    <n v="310818"/>
    <n v="198923.51999999999"/>
    <n v="111894.48000000001"/>
    <n v="0.36000000000000004"/>
  </r>
  <r>
    <n v="1165"/>
    <d v="2024-08-07T00:00:00"/>
    <x v="10"/>
    <x v="3"/>
    <x v="0"/>
    <x v="4"/>
    <n v="5"/>
    <n v="440409"/>
    <n v="369943.56"/>
    <n v="70465.440000000002"/>
    <n v="0.16"/>
  </r>
  <r>
    <n v="1166"/>
    <d v="2024-07-01T00:00:00"/>
    <x v="0"/>
    <x v="0"/>
    <x v="4"/>
    <x v="1"/>
    <n v="1"/>
    <n v="320672"/>
    <n v="288604.79999999999"/>
    <n v="32067.200000000012"/>
    <n v="0.10000000000000003"/>
  </r>
  <r>
    <n v="1167"/>
    <d v="2024-12-11T00:00:00"/>
    <x v="1"/>
    <x v="1"/>
    <x v="3"/>
    <x v="1"/>
    <n v="6"/>
    <n v="125524"/>
    <n v="101674.44"/>
    <n v="23849.559999999998"/>
    <n v="0.18999999999999997"/>
  </r>
  <r>
    <n v="1168"/>
    <d v="2024-11-13T00:00:00"/>
    <x v="9"/>
    <x v="0"/>
    <x v="0"/>
    <x v="2"/>
    <n v="7"/>
    <n v="340970"/>
    <n v="235269.3"/>
    <n v="105700.70000000001"/>
    <n v="0.31000000000000005"/>
  </r>
  <r>
    <n v="1169"/>
    <d v="2024-09-16T00:00:00"/>
    <x v="8"/>
    <x v="2"/>
    <x v="6"/>
    <x v="1"/>
    <n v="2"/>
    <n v="253042"/>
    <n v="210024.86"/>
    <n v="43017.140000000014"/>
    <n v="0.17000000000000007"/>
  </r>
  <r>
    <n v="1170"/>
    <d v="2024-08-31T00:00:00"/>
    <x v="10"/>
    <x v="1"/>
    <x v="1"/>
    <x v="2"/>
    <n v="6"/>
    <n v="344621"/>
    <n v="258465.75"/>
    <n v="86155.25"/>
    <n v="0.25"/>
  </r>
  <r>
    <n v="1171"/>
    <d v="2024-02-19T00:00:00"/>
    <x v="5"/>
    <x v="3"/>
    <x v="2"/>
    <x v="3"/>
    <n v="6"/>
    <n v="171803"/>
    <n v="130570.28"/>
    <n v="41232.720000000001"/>
    <n v="0.24000000000000002"/>
  </r>
  <r>
    <n v="1172"/>
    <d v="2024-01-12T00:00:00"/>
    <x v="6"/>
    <x v="3"/>
    <x v="0"/>
    <x v="4"/>
    <n v="1"/>
    <n v="137388"/>
    <n v="96171.6"/>
    <n v="41216.399999999994"/>
    <n v="0.29999999999999993"/>
  </r>
  <r>
    <n v="1173"/>
    <d v="2024-07-10T00:00:00"/>
    <x v="0"/>
    <x v="3"/>
    <x v="6"/>
    <x v="3"/>
    <n v="7"/>
    <n v="234315"/>
    <n v="192138.3"/>
    <n v="42176.700000000012"/>
    <n v="0.18000000000000005"/>
  </r>
  <r>
    <n v="1174"/>
    <d v="2024-03-27T00:00:00"/>
    <x v="7"/>
    <x v="2"/>
    <x v="4"/>
    <x v="4"/>
    <n v="5"/>
    <n v="364002"/>
    <n v="225681.24"/>
    <n v="138320.76"/>
    <n v="0.38"/>
  </r>
  <r>
    <n v="1175"/>
    <d v="2024-01-12T00:00:00"/>
    <x v="6"/>
    <x v="2"/>
    <x v="0"/>
    <x v="0"/>
    <n v="1"/>
    <n v="414046"/>
    <n v="360220.02"/>
    <n v="53825.979999999981"/>
    <n v="0.12999999999999995"/>
  </r>
  <r>
    <n v="1176"/>
    <d v="2024-09-07T00:00:00"/>
    <x v="8"/>
    <x v="0"/>
    <x v="3"/>
    <x v="1"/>
    <n v="3"/>
    <n v="457713"/>
    <n v="320399.09999999998"/>
    <n v="137313.90000000002"/>
    <n v="0.30000000000000004"/>
  </r>
  <r>
    <n v="1177"/>
    <d v="2024-07-25T00:00:00"/>
    <x v="0"/>
    <x v="0"/>
    <x v="2"/>
    <x v="4"/>
    <n v="10"/>
    <n v="388817"/>
    <n v="314941.77"/>
    <n v="73875.229999999981"/>
    <n v="0.18999999999999995"/>
  </r>
  <r>
    <n v="1178"/>
    <d v="2024-01-07T00:00:00"/>
    <x v="6"/>
    <x v="2"/>
    <x v="7"/>
    <x v="4"/>
    <n v="2"/>
    <n v="191700"/>
    <n v="126522"/>
    <n v="65178"/>
    <n v="0.34"/>
  </r>
  <r>
    <n v="1179"/>
    <d v="2024-06-25T00:00:00"/>
    <x v="11"/>
    <x v="3"/>
    <x v="2"/>
    <x v="2"/>
    <n v="5"/>
    <n v="198230"/>
    <n v="178407"/>
    <n v="19823"/>
    <n v="0.1"/>
  </r>
  <r>
    <n v="1180"/>
    <d v="2024-01-14T00:00:00"/>
    <x v="6"/>
    <x v="1"/>
    <x v="2"/>
    <x v="1"/>
    <n v="1"/>
    <n v="425987"/>
    <n v="336529.73"/>
    <n v="89457.270000000019"/>
    <n v="0.21000000000000005"/>
  </r>
  <r>
    <n v="1181"/>
    <d v="2024-12-26T00:00:00"/>
    <x v="1"/>
    <x v="2"/>
    <x v="6"/>
    <x v="1"/>
    <n v="9"/>
    <n v="138386"/>
    <n v="92718.62"/>
    <n v="45667.380000000005"/>
    <n v="0.33"/>
  </r>
  <r>
    <n v="1182"/>
    <d v="2024-03-03T00:00:00"/>
    <x v="7"/>
    <x v="2"/>
    <x v="3"/>
    <x v="0"/>
    <n v="10"/>
    <n v="467322"/>
    <n v="285066.42"/>
    <n v="182255.58000000002"/>
    <n v="0.39"/>
  </r>
  <r>
    <n v="1183"/>
    <d v="2024-11-16T00:00:00"/>
    <x v="9"/>
    <x v="0"/>
    <x v="4"/>
    <x v="3"/>
    <n v="6"/>
    <n v="264918"/>
    <n v="209285.22"/>
    <n v="55632.78"/>
    <n v="0.21"/>
  </r>
  <r>
    <n v="1184"/>
    <d v="2024-08-07T00:00:00"/>
    <x v="10"/>
    <x v="0"/>
    <x v="6"/>
    <x v="4"/>
    <n v="2"/>
    <n v="392514"/>
    <n v="270834.65999999997"/>
    <n v="121679.34000000003"/>
    <n v="0.31000000000000005"/>
  </r>
  <r>
    <n v="1185"/>
    <d v="2024-05-23T00:00:00"/>
    <x v="2"/>
    <x v="2"/>
    <x v="1"/>
    <x v="1"/>
    <n v="10"/>
    <n v="130595"/>
    <n v="87498.65"/>
    <n v="43096.350000000006"/>
    <n v="0.33000000000000007"/>
  </r>
  <r>
    <n v="1186"/>
    <d v="2024-02-28T00:00:00"/>
    <x v="5"/>
    <x v="1"/>
    <x v="6"/>
    <x v="3"/>
    <n v="1"/>
    <n v="438049"/>
    <n v="297873.32"/>
    <n v="140175.67999999999"/>
    <n v="0.32"/>
  </r>
  <r>
    <n v="1187"/>
    <d v="2024-10-26T00:00:00"/>
    <x v="3"/>
    <x v="2"/>
    <x v="0"/>
    <x v="3"/>
    <n v="1"/>
    <n v="293059"/>
    <n v="228586.02"/>
    <n v="64472.98000000001"/>
    <n v="0.22000000000000003"/>
  </r>
  <r>
    <n v="1188"/>
    <d v="2024-03-27T00:00:00"/>
    <x v="7"/>
    <x v="1"/>
    <x v="5"/>
    <x v="2"/>
    <n v="2"/>
    <n v="193174"/>
    <n v="160334.42000000001"/>
    <n v="32839.579999999987"/>
    <n v="0.16999999999999993"/>
  </r>
  <r>
    <n v="1189"/>
    <d v="2024-01-19T00:00:00"/>
    <x v="6"/>
    <x v="3"/>
    <x v="4"/>
    <x v="1"/>
    <n v="4"/>
    <n v="332330"/>
    <n v="245924.2"/>
    <n v="86405.799999999988"/>
    <n v="0.25999999999999995"/>
  </r>
  <r>
    <n v="1190"/>
    <d v="2024-08-08T00:00:00"/>
    <x v="10"/>
    <x v="3"/>
    <x v="2"/>
    <x v="1"/>
    <n v="8"/>
    <n v="458301"/>
    <n v="316227.69"/>
    <n v="142073.31"/>
    <n v="0.31"/>
  </r>
  <r>
    <n v="1191"/>
    <d v="2024-02-24T00:00:00"/>
    <x v="5"/>
    <x v="2"/>
    <x v="2"/>
    <x v="0"/>
    <n v="6"/>
    <n v="373393"/>
    <n v="250173.31"/>
    <n v="123219.69"/>
    <n v="0.33"/>
  </r>
  <r>
    <n v="1192"/>
    <d v="2024-03-09T00:00:00"/>
    <x v="7"/>
    <x v="1"/>
    <x v="7"/>
    <x v="4"/>
    <n v="7"/>
    <n v="393993"/>
    <n v="346713.84"/>
    <n v="47279.159999999974"/>
    <n v="0.11999999999999994"/>
  </r>
  <r>
    <n v="1193"/>
    <d v="2024-09-09T00:00:00"/>
    <x v="8"/>
    <x v="3"/>
    <x v="2"/>
    <x v="0"/>
    <n v="2"/>
    <n v="115779"/>
    <n v="79887.509999999995"/>
    <n v="35891.490000000005"/>
    <n v="0.31000000000000005"/>
  </r>
  <r>
    <n v="1194"/>
    <d v="2024-03-29T00:00:00"/>
    <x v="7"/>
    <x v="1"/>
    <x v="0"/>
    <x v="4"/>
    <n v="7"/>
    <n v="107127"/>
    <n v="65347.47"/>
    <n v="41779.53"/>
    <n v="0.39"/>
  </r>
  <r>
    <n v="1195"/>
    <d v="2024-09-26T00:00:00"/>
    <x v="8"/>
    <x v="1"/>
    <x v="3"/>
    <x v="3"/>
    <n v="2"/>
    <n v="260023"/>
    <n v="174215.41"/>
    <n v="85807.59"/>
    <n v="0.32999999999999996"/>
  </r>
  <r>
    <n v="1196"/>
    <d v="2024-10-12T00:00:00"/>
    <x v="3"/>
    <x v="0"/>
    <x v="1"/>
    <x v="0"/>
    <n v="5"/>
    <n v="114984"/>
    <n v="87387.839999999997"/>
    <n v="27596.160000000003"/>
    <n v="0.24000000000000002"/>
  </r>
  <r>
    <n v="1197"/>
    <d v="2024-10-22T00:00:00"/>
    <x v="3"/>
    <x v="2"/>
    <x v="3"/>
    <x v="4"/>
    <n v="9"/>
    <n v="312742"/>
    <n v="193900.04"/>
    <n v="118841.95999999999"/>
    <n v="0.37999999999999995"/>
  </r>
  <r>
    <n v="1198"/>
    <d v="2024-01-07T00:00:00"/>
    <x v="6"/>
    <x v="1"/>
    <x v="5"/>
    <x v="0"/>
    <n v="7"/>
    <n v="251661"/>
    <n v="216428.46"/>
    <n v="35232.540000000008"/>
    <n v="0.14000000000000004"/>
  </r>
  <r>
    <n v="1199"/>
    <d v="2024-04-28T00:00:00"/>
    <x v="4"/>
    <x v="0"/>
    <x v="5"/>
    <x v="0"/>
    <n v="3"/>
    <n v="415246"/>
    <n v="319739.42"/>
    <n v="95506.580000000016"/>
    <n v="0.2300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16" firstHeaderRow="1" firstDataRow="1" firstDataCol="1"/>
  <pivotFields count="11">
    <pivotField showAll="0"/>
    <pivotField showAll="0"/>
    <pivotField axis="axisRow" showAll="0" sortType="descending">
      <items count="13">
        <item x="6"/>
        <item x="5"/>
        <item x="7"/>
        <item x="4"/>
        <item x="2"/>
        <item x="11"/>
        <item x="0"/>
        <item x="10"/>
        <item x="8"/>
        <item x="3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2"/>
  </rowFields>
  <rowItems count="13">
    <i>
      <x v="2"/>
    </i>
    <i>
      <x v="9"/>
    </i>
    <i>
      <x v="10"/>
    </i>
    <i>
      <x v="5"/>
    </i>
    <i>
      <x v="8"/>
    </i>
    <i>
      <x v="11"/>
    </i>
    <i>
      <x v="3"/>
    </i>
    <i>
      <x v="6"/>
    </i>
    <i>
      <x/>
    </i>
    <i>
      <x v="1"/>
    </i>
    <i>
      <x v="4"/>
    </i>
    <i>
      <x v="7"/>
    </i>
    <i t="grand">
      <x/>
    </i>
  </rowItems>
  <colItems count="1">
    <i/>
  </colItems>
  <dataFields count="1">
    <dataField name="Sum of Sales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6:C46" firstHeaderRow="1" firstDataRow="2" firstDataCol="1"/>
  <pivotFields count="11">
    <pivotField showAll="0"/>
    <pivotField showAll="0"/>
    <pivotField showAll="0"/>
    <pivotField showAll="0"/>
    <pivotField axis="axisRow" showAll="0" sortType="descending">
      <items count="9">
        <item x="3"/>
        <item x="5"/>
        <item x="0"/>
        <item x="7"/>
        <item x="1"/>
        <item x="6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numFmtId="10" showAll="0"/>
  </pivotFields>
  <rowFields count="1">
    <field x="4"/>
  </rowFields>
  <rowItems count="9">
    <i>
      <x v="6"/>
    </i>
    <i>
      <x/>
    </i>
    <i>
      <x v="5"/>
    </i>
    <i>
      <x v="7"/>
    </i>
    <i>
      <x v="4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7" baseField="0" baseItem="0"/>
    <dataField name="Sum of Profit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27:B33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0" showAll="0"/>
  </pivotFields>
  <rowFields count="1">
    <field x="5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Sales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9:B24" firstHeaderRow="1" firstDataRow="1" firstDataCol="1"/>
  <pivotFields count="11"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Sales Amount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46"/>
  <sheetViews>
    <sheetView workbookViewId="0">
      <selection activeCell="A29" sqref="A28:A32"/>
      <pivotSelection pane="bottomRight" showHeader="1" activeRow="28" click="1" r:id="rId3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4.5"/>
  <cols>
    <col min="1" max="1" width="12.36328125" customWidth="1"/>
    <col min="2" max="2" width="18.7265625" bestFit="1" customWidth="1"/>
    <col min="3" max="3" width="11.81640625" customWidth="1"/>
  </cols>
  <sheetData>
    <row r="3" spans="1:2">
      <c r="A3" s="2" t="s">
        <v>28</v>
      </c>
      <c r="B3" t="s">
        <v>42</v>
      </c>
    </row>
    <row r="4" spans="1:2">
      <c r="A4" s="3" t="s">
        <v>31</v>
      </c>
      <c r="B4" s="4">
        <v>6980450</v>
      </c>
    </row>
    <row r="5" spans="1:2">
      <c r="A5" s="3" t="s">
        <v>38</v>
      </c>
      <c r="B5" s="4">
        <v>6529848</v>
      </c>
    </row>
    <row r="6" spans="1:2">
      <c r="A6" s="3" t="s">
        <v>39</v>
      </c>
      <c r="B6" s="4">
        <v>6143927</v>
      </c>
    </row>
    <row r="7" spans="1:2">
      <c r="A7" s="3" t="s">
        <v>34</v>
      </c>
      <c r="B7" s="4">
        <v>5107279</v>
      </c>
    </row>
    <row r="8" spans="1:2">
      <c r="A8" s="3" t="s">
        <v>37</v>
      </c>
      <c r="B8" s="4">
        <v>5009541</v>
      </c>
    </row>
    <row r="9" spans="1:2">
      <c r="A9" s="3" t="s">
        <v>40</v>
      </c>
      <c r="B9" s="4">
        <v>4911065</v>
      </c>
    </row>
    <row r="10" spans="1:2">
      <c r="A10" s="3" t="s">
        <v>32</v>
      </c>
      <c r="B10" s="4">
        <v>4722687</v>
      </c>
    </row>
    <row r="11" spans="1:2">
      <c r="A11" s="3" t="s">
        <v>35</v>
      </c>
      <c r="B11" s="4">
        <v>4627443</v>
      </c>
    </row>
    <row r="12" spans="1:2">
      <c r="A12" s="3" t="s">
        <v>29</v>
      </c>
      <c r="B12" s="4">
        <v>4570497</v>
      </c>
    </row>
    <row r="13" spans="1:2">
      <c r="A13" s="3" t="s">
        <v>30</v>
      </c>
      <c r="B13" s="4">
        <v>4111552</v>
      </c>
    </row>
    <row r="14" spans="1:2">
      <c r="A14" s="3" t="s">
        <v>33</v>
      </c>
      <c r="B14" s="4">
        <v>3938444</v>
      </c>
    </row>
    <row r="15" spans="1:2">
      <c r="A15" s="3" t="s">
        <v>36</v>
      </c>
      <c r="B15" s="4">
        <v>3787358</v>
      </c>
    </row>
    <row r="16" spans="1:2">
      <c r="A16" s="3" t="s">
        <v>41</v>
      </c>
      <c r="B16" s="4">
        <v>60440091</v>
      </c>
    </row>
    <row r="19" spans="1:2">
      <c r="A19" s="2" t="s">
        <v>28</v>
      </c>
      <c r="B19" t="s">
        <v>42</v>
      </c>
    </row>
    <row r="20" spans="1:2">
      <c r="A20" s="3" t="s">
        <v>13</v>
      </c>
      <c r="B20" s="4">
        <v>16361705</v>
      </c>
    </row>
    <row r="21" spans="1:2">
      <c r="A21" s="3" t="s">
        <v>8</v>
      </c>
      <c r="B21" s="4">
        <v>15881091</v>
      </c>
    </row>
    <row r="22" spans="1:2">
      <c r="A22" s="3" t="s">
        <v>11</v>
      </c>
      <c r="B22" s="4">
        <v>15835905</v>
      </c>
    </row>
    <row r="23" spans="1:2">
      <c r="A23" s="3" t="s">
        <v>12</v>
      </c>
      <c r="B23" s="4">
        <v>12361390</v>
      </c>
    </row>
    <row r="24" spans="1:2">
      <c r="A24" s="3" t="s">
        <v>41</v>
      </c>
      <c r="B24" s="4">
        <v>60440091</v>
      </c>
    </row>
    <row r="27" spans="1:2">
      <c r="A27" s="2" t="s">
        <v>28</v>
      </c>
      <c r="B27" t="s">
        <v>42</v>
      </c>
    </row>
    <row r="28" spans="1:2">
      <c r="A28" s="3" t="s">
        <v>52</v>
      </c>
      <c r="B28" s="4">
        <v>14430485</v>
      </c>
    </row>
    <row r="29" spans="1:2">
      <c r="A29" s="3" t="s">
        <v>16</v>
      </c>
      <c r="B29" s="4">
        <v>13301627</v>
      </c>
    </row>
    <row r="30" spans="1:2">
      <c r="A30" s="3" t="s">
        <v>17</v>
      </c>
      <c r="B30" s="4">
        <v>13285802</v>
      </c>
    </row>
    <row r="31" spans="1:2">
      <c r="A31" s="3" t="s">
        <v>15</v>
      </c>
      <c r="B31" s="4">
        <v>10106750</v>
      </c>
    </row>
    <row r="32" spans="1:2">
      <c r="A32" s="3" t="s">
        <v>10</v>
      </c>
      <c r="B32" s="4">
        <v>9315427</v>
      </c>
    </row>
    <row r="33" spans="1:3">
      <c r="A33" s="3" t="s">
        <v>41</v>
      </c>
      <c r="B33" s="4">
        <v>60440091</v>
      </c>
    </row>
    <row r="36" spans="1:3">
      <c r="B36" s="2" t="s">
        <v>43</v>
      </c>
    </row>
    <row r="37" spans="1:3">
      <c r="A37" s="2" t="s">
        <v>28</v>
      </c>
      <c r="B37" t="s">
        <v>42</v>
      </c>
      <c r="C37" t="s">
        <v>44</v>
      </c>
    </row>
    <row r="38" spans="1:3">
      <c r="A38" s="3" t="s">
        <v>20</v>
      </c>
      <c r="B38" s="4">
        <v>9156006</v>
      </c>
      <c r="C38" s="4">
        <v>2506325.6600000006</v>
      </c>
    </row>
    <row r="39" spans="1:3">
      <c r="A39" s="3" t="s">
        <v>21</v>
      </c>
      <c r="B39" s="4">
        <v>8224411</v>
      </c>
      <c r="C39" s="4">
        <v>2318111.9700000002</v>
      </c>
    </row>
    <row r="40" spans="1:3">
      <c r="A40" s="3" t="s">
        <v>24</v>
      </c>
      <c r="B40" s="4">
        <v>9123966</v>
      </c>
      <c r="C40" s="4">
        <v>2309723.7400000002</v>
      </c>
    </row>
    <row r="41" spans="1:3">
      <c r="A41" s="3" t="s">
        <v>22</v>
      </c>
      <c r="B41" s="4">
        <v>7330185</v>
      </c>
      <c r="C41" s="4">
        <v>1864252.9499999997</v>
      </c>
    </row>
    <row r="42" spans="1:3">
      <c r="A42" s="3" t="s">
        <v>19</v>
      </c>
      <c r="B42" s="4">
        <v>7099507</v>
      </c>
      <c r="C42" s="4">
        <v>1702726.24</v>
      </c>
    </row>
    <row r="43" spans="1:3">
      <c r="A43" s="3" t="s">
        <v>23</v>
      </c>
      <c r="B43" s="4">
        <v>7258004</v>
      </c>
      <c r="C43" s="4">
        <v>1648137.7</v>
      </c>
    </row>
    <row r="44" spans="1:3">
      <c r="A44" s="3" t="s">
        <v>9</v>
      </c>
      <c r="B44" s="4">
        <v>6151085</v>
      </c>
      <c r="C44" s="4">
        <v>1578933.3899999997</v>
      </c>
    </row>
    <row r="45" spans="1:3">
      <c r="A45" s="3" t="s">
        <v>25</v>
      </c>
      <c r="B45" s="4">
        <v>6096927</v>
      </c>
      <c r="C45" s="4">
        <v>1335275.3</v>
      </c>
    </row>
    <row r="46" spans="1:3">
      <c r="A46" s="3" t="s">
        <v>41</v>
      </c>
      <c r="B46" s="4">
        <v>60440091</v>
      </c>
      <c r="C46" s="4">
        <v>15263486.949999999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0"/>
  <sheetViews>
    <sheetView tabSelected="1" workbookViewId="0"/>
  </sheetViews>
  <sheetFormatPr defaultRowHeight="14.5"/>
  <cols>
    <col min="2" max="2" width="10.08984375" bestFit="1" customWidth="1"/>
    <col min="4" max="4" width="11.1796875" customWidth="1"/>
    <col min="5" max="5" width="17.6328125" customWidth="1"/>
    <col min="6" max="6" width="13.1796875" customWidth="1"/>
    <col min="7" max="7" width="13.81640625" customWidth="1"/>
    <col min="8" max="8" width="14.1796875" customWidth="1"/>
    <col min="9" max="9" width="12.1796875" customWidth="1"/>
    <col min="10" max="10" width="12" customWidth="1"/>
    <col min="11" max="11" width="14.7265625" customWidth="1"/>
  </cols>
  <sheetData>
    <row r="1" spans="1:11">
      <c r="A1" s="26" t="s">
        <v>0</v>
      </c>
      <c r="B1" s="26" t="s">
        <v>1</v>
      </c>
      <c r="C1" s="26" t="s">
        <v>26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18</v>
      </c>
      <c r="J1" s="26" t="s">
        <v>7</v>
      </c>
      <c r="K1" s="26" t="s">
        <v>27</v>
      </c>
    </row>
    <row r="2" spans="1:11" s="1" customFormat="1">
      <c r="A2" s="27">
        <v>1001</v>
      </c>
      <c r="B2" s="30">
        <v>45499</v>
      </c>
      <c r="C2" s="28" t="str">
        <f>TEXT(B2,"mmm")</f>
        <v>Jul</v>
      </c>
      <c r="D2" s="27" t="s">
        <v>8</v>
      </c>
      <c r="E2" s="27" t="s">
        <v>9</v>
      </c>
      <c r="F2" s="27" t="s">
        <v>10</v>
      </c>
      <c r="G2" s="27">
        <v>2</v>
      </c>
      <c r="H2" s="47">
        <v>100000</v>
      </c>
      <c r="I2" s="47">
        <v>80000</v>
      </c>
      <c r="J2" s="47">
        <v>20000</v>
      </c>
      <c r="K2" s="29">
        <f>J2/H2</f>
        <v>0.2</v>
      </c>
    </row>
    <row r="3" spans="1:11" s="1" customFormat="1">
      <c r="A3" s="27">
        <v>1002</v>
      </c>
      <c r="B3" s="30">
        <v>45644</v>
      </c>
      <c r="C3" s="28" t="str">
        <f t="shared" ref="C3:C66" si="0">TEXT(B3,"mmm")</f>
        <v>Dec</v>
      </c>
      <c r="D3" s="27" t="s">
        <v>11</v>
      </c>
      <c r="E3" s="27" t="s">
        <v>19</v>
      </c>
      <c r="F3" s="27" t="s">
        <v>52</v>
      </c>
      <c r="G3" s="27">
        <v>7</v>
      </c>
      <c r="H3" s="47">
        <v>498660</v>
      </c>
      <c r="I3" s="47">
        <v>413887.8</v>
      </c>
      <c r="J3" s="47">
        <v>84772.200000000012</v>
      </c>
      <c r="K3" s="29">
        <f t="shared" ref="K3:K66" si="1">J3/H3</f>
        <v>0.17</v>
      </c>
    </row>
    <row r="4" spans="1:11" s="1" customFormat="1">
      <c r="A4" s="27">
        <v>1003</v>
      </c>
      <c r="B4" s="30">
        <v>45418</v>
      </c>
      <c r="C4" s="28" t="str">
        <f t="shared" si="0"/>
        <v>May</v>
      </c>
      <c r="D4" s="27" t="s">
        <v>12</v>
      </c>
      <c r="E4" s="27" t="s">
        <v>20</v>
      </c>
      <c r="F4" s="27" t="s">
        <v>15</v>
      </c>
      <c r="G4" s="27">
        <v>9</v>
      </c>
      <c r="H4" s="47">
        <v>155104</v>
      </c>
      <c r="I4" s="47">
        <v>96164.479999999996</v>
      </c>
      <c r="J4" s="47">
        <v>58939.520000000004</v>
      </c>
      <c r="K4" s="29">
        <f t="shared" si="1"/>
        <v>0.38</v>
      </c>
    </row>
    <row r="5" spans="1:11" s="1" customFormat="1">
      <c r="A5" s="27">
        <v>1004</v>
      </c>
      <c r="B5" s="30">
        <v>45593</v>
      </c>
      <c r="C5" s="28" t="str">
        <f t="shared" si="0"/>
        <v>Oct</v>
      </c>
      <c r="D5" s="27" t="s">
        <v>13</v>
      </c>
      <c r="E5" s="27" t="s">
        <v>21</v>
      </c>
      <c r="F5" s="27" t="s">
        <v>16</v>
      </c>
      <c r="G5" s="27">
        <v>10</v>
      </c>
      <c r="H5" s="47">
        <v>421293</v>
      </c>
      <c r="I5" s="47">
        <v>374950.77</v>
      </c>
      <c r="J5" s="47">
        <v>46342.229999999981</v>
      </c>
      <c r="K5" s="29">
        <f t="shared" si="1"/>
        <v>0.10999999999999996</v>
      </c>
    </row>
    <row r="6" spans="1:11" s="1" customFormat="1">
      <c r="A6" s="27">
        <v>1005</v>
      </c>
      <c r="B6" s="30">
        <v>45576</v>
      </c>
      <c r="C6" s="28" t="str">
        <f t="shared" si="0"/>
        <v>Oct</v>
      </c>
      <c r="D6" s="27" t="s">
        <v>12</v>
      </c>
      <c r="E6" s="27" t="s">
        <v>22</v>
      </c>
      <c r="F6" s="27" t="s">
        <v>17</v>
      </c>
      <c r="G6" s="27">
        <v>2</v>
      </c>
      <c r="H6" s="47">
        <v>405035</v>
      </c>
      <c r="I6" s="47">
        <v>344279.75</v>
      </c>
      <c r="J6" s="47">
        <v>60755.25</v>
      </c>
      <c r="K6" s="29">
        <f t="shared" si="1"/>
        <v>0.15</v>
      </c>
    </row>
    <row r="7" spans="1:11" s="1" customFormat="1">
      <c r="A7" s="27">
        <v>1006</v>
      </c>
      <c r="B7" s="30">
        <v>45385</v>
      </c>
      <c r="C7" s="28" t="str">
        <f t="shared" si="0"/>
        <v>Apr</v>
      </c>
      <c r="D7" s="27" t="s">
        <v>12</v>
      </c>
      <c r="E7" s="27" t="s">
        <v>23</v>
      </c>
      <c r="F7" s="27" t="s">
        <v>17</v>
      </c>
      <c r="G7" s="27">
        <v>10</v>
      </c>
      <c r="H7" s="47">
        <v>219588</v>
      </c>
      <c r="I7" s="47">
        <v>184453.92</v>
      </c>
      <c r="J7" s="47">
        <v>35134.079999999987</v>
      </c>
      <c r="K7" s="29">
        <f t="shared" si="1"/>
        <v>0.15999999999999995</v>
      </c>
    </row>
    <row r="8" spans="1:11" s="1" customFormat="1">
      <c r="A8" s="27">
        <v>1007</v>
      </c>
      <c r="B8" s="30">
        <v>45331</v>
      </c>
      <c r="C8" s="28" t="str">
        <f t="shared" si="0"/>
        <v>Feb</v>
      </c>
      <c r="D8" s="27" t="s">
        <v>13</v>
      </c>
      <c r="E8" s="27" t="s">
        <v>24</v>
      </c>
      <c r="F8" s="27" t="s">
        <v>15</v>
      </c>
      <c r="G8" s="27">
        <v>1</v>
      </c>
      <c r="H8" s="47">
        <v>482853</v>
      </c>
      <c r="I8" s="47">
        <v>391110.93</v>
      </c>
      <c r="J8" s="47">
        <v>91742.07</v>
      </c>
      <c r="K8" s="29">
        <f t="shared" si="1"/>
        <v>0.19</v>
      </c>
    </row>
    <row r="9" spans="1:11" s="1" customFormat="1">
      <c r="A9" s="27">
        <v>1008</v>
      </c>
      <c r="B9" s="30">
        <v>45312</v>
      </c>
      <c r="C9" s="28" t="str">
        <f t="shared" si="0"/>
        <v>Jan</v>
      </c>
      <c r="D9" s="27" t="s">
        <v>11</v>
      </c>
      <c r="E9" s="27" t="s">
        <v>25</v>
      </c>
      <c r="F9" s="27" t="s">
        <v>10</v>
      </c>
      <c r="G9" s="27">
        <v>8</v>
      </c>
      <c r="H9" s="47">
        <v>165886</v>
      </c>
      <c r="I9" s="47">
        <v>147638.54</v>
      </c>
      <c r="J9" s="47">
        <v>18247.459999999992</v>
      </c>
      <c r="K9" s="29">
        <f t="shared" si="1"/>
        <v>0.10999999999999995</v>
      </c>
    </row>
    <row r="10" spans="1:11" s="1" customFormat="1">
      <c r="A10" s="27">
        <v>1009</v>
      </c>
      <c r="B10" s="30">
        <v>45415</v>
      </c>
      <c r="C10" s="28" t="str">
        <f t="shared" si="0"/>
        <v>May</v>
      </c>
      <c r="D10" s="27" t="s">
        <v>12</v>
      </c>
      <c r="E10" s="27" t="str">
        <f ca="1">INDEX($E$2:$E$9,RANDBETWEEN(1,8))</f>
        <v>Rajiv Kumar</v>
      </c>
      <c r="F10" s="27" t="s">
        <v>10</v>
      </c>
      <c r="G10" s="27">
        <v>1</v>
      </c>
      <c r="H10" s="47">
        <v>297777</v>
      </c>
      <c r="I10" s="47">
        <v>250132.68</v>
      </c>
      <c r="J10" s="47">
        <v>47644.320000000007</v>
      </c>
      <c r="K10" s="29">
        <f t="shared" si="1"/>
        <v>0.16000000000000003</v>
      </c>
    </row>
    <row r="11" spans="1:11" s="1" customFormat="1">
      <c r="A11" s="27">
        <v>1010</v>
      </c>
      <c r="B11" s="30">
        <v>45355</v>
      </c>
      <c r="C11" s="28" t="str">
        <f t="shared" si="0"/>
        <v>Mar</v>
      </c>
      <c r="D11" s="27" t="s">
        <v>12</v>
      </c>
      <c r="E11" s="27" t="str">
        <f t="shared" ref="E11:E74" ca="1" si="2">INDEX($E$2:$E$9,RANDBETWEEN(1,8))</f>
        <v>Ira Rajdev</v>
      </c>
      <c r="F11" s="27" t="s">
        <v>10</v>
      </c>
      <c r="G11" s="27">
        <v>5</v>
      </c>
      <c r="H11" s="47">
        <v>488175</v>
      </c>
      <c r="I11" s="47">
        <v>351486</v>
      </c>
      <c r="J11" s="47">
        <v>136689</v>
      </c>
      <c r="K11" s="29">
        <f t="shared" si="1"/>
        <v>0.28000000000000003</v>
      </c>
    </row>
    <row r="12" spans="1:11" s="1" customFormat="1">
      <c r="A12" s="27">
        <v>1011</v>
      </c>
      <c r="B12" s="30">
        <v>45543</v>
      </c>
      <c r="C12" s="28" t="str">
        <f t="shared" si="0"/>
        <v>Sep</v>
      </c>
      <c r="D12" s="27" t="s">
        <v>8</v>
      </c>
      <c r="E12" s="27" t="str">
        <f t="shared" ca="1" si="2"/>
        <v>Neha Sharma</v>
      </c>
      <c r="F12" s="27" t="s">
        <v>17</v>
      </c>
      <c r="G12" s="27">
        <v>1</v>
      </c>
      <c r="H12" s="47">
        <v>242855</v>
      </c>
      <c r="I12" s="47">
        <v>160284.29999999999</v>
      </c>
      <c r="J12" s="47">
        <v>82570.700000000012</v>
      </c>
      <c r="K12" s="29">
        <f t="shared" si="1"/>
        <v>0.34</v>
      </c>
    </row>
    <row r="13" spans="1:11" s="1" customFormat="1">
      <c r="A13" s="27">
        <v>1012</v>
      </c>
      <c r="B13" s="30">
        <v>45435</v>
      </c>
      <c r="C13" s="28" t="str">
        <f t="shared" si="0"/>
        <v>May</v>
      </c>
      <c r="D13" s="27" t="s">
        <v>13</v>
      </c>
      <c r="E13" s="27" t="str">
        <f t="shared" ca="1" si="2"/>
        <v>Raj Nair</v>
      </c>
      <c r="F13" s="27" t="s">
        <v>17</v>
      </c>
      <c r="G13" s="27">
        <v>8</v>
      </c>
      <c r="H13" s="47">
        <v>193249</v>
      </c>
      <c r="I13" s="47">
        <v>133341.81</v>
      </c>
      <c r="J13" s="47">
        <v>59907.19</v>
      </c>
      <c r="K13" s="29">
        <f t="shared" si="1"/>
        <v>0.31</v>
      </c>
    </row>
    <row r="14" spans="1:11" s="1" customFormat="1">
      <c r="A14" s="27">
        <v>1013</v>
      </c>
      <c r="B14" s="30">
        <v>45482</v>
      </c>
      <c r="C14" s="28" t="str">
        <f t="shared" si="0"/>
        <v>Jul</v>
      </c>
      <c r="D14" s="27" t="s">
        <v>11</v>
      </c>
      <c r="E14" s="27" t="str">
        <f t="shared" ca="1" si="2"/>
        <v>Ira Rajdev</v>
      </c>
      <c r="F14" s="27" t="s">
        <v>16</v>
      </c>
      <c r="G14" s="27">
        <v>10</v>
      </c>
      <c r="H14" s="47">
        <v>458728</v>
      </c>
      <c r="I14" s="47">
        <v>371569.68</v>
      </c>
      <c r="J14" s="47">
        <v>87158.32</v>
      </c>
      <c r="K14" s="29">
        <f t="shared" si="1"/>
        <v>0.19</v>
      </c>
    </row>
    <row r="15" spans="1:11" s="1" customFormat="1">
      <c r="A15" s="27">
        <v>1014</v>
      </c>
      <c r="B15" s="30">
        <v>45348</v>
      </c>
      <c r="C15" s="28" t="str">
        <f t="shared" si="0"/>
        <v>Feb</v>
      </c>
      <c r="D15" s="27" t="s">
        <v>13</v>
      </c>
      <c r="E15" s="27" t="str">
        <f t="shared" ca="1" si="2"/>
        <v>Rajiv Kumar</v>
      </c>
      <c r="F15" s="27" t="s">
        <v>52</v>
      </c>
      <c r="G15" s="27">
        <v>4</v>
      </c>
      <c r="H15" s="47">
        <v>160726</v>
      </c>
      <c r="I15" s="47">
        <v>96435.6</v>
      </c>
      <c r="J15" s="47">
        <v>64290.399999999994</v>
      </c>
      <c r="K15" s="29">
        <f t="shared" si="1"/>
        <v>0.39999999999999997</v>
      </c>
    </row>
    <row r="16" spans="1:11" s="1" customFormat="1">
      <c r="A16" s="27">
        <v>1015</v>
      </c>
      <c r="B16" s="30">
        <v>45590</v>
      </c>
      <c r="C16" s="28" t="str">
        <f t="shared" si="0"/>
        <v>Oct</v>
      </c>
      <c r="D16" s="27" t="s">
        <v>8</v>
      </c>
      <c r="E16" s="27" t="str">
        <f t="shared" ca="1" si="2"/>
        <v>Neha Sharma</v>
      </c>
      <c r="F16" s="27" t="s">
        <v>16</v>
      </c>
      <c r="G16" s="27">
        <v>8</v>
      </c>
      <c r="H16" s="47">
        <v>358341</v>
      </c>
      <c r="I16" s="47">
        <v>304589.84999999998</v>
      </c>
      <c r="J16" s="47">
        <v>53751.150000000023</v>
      </c>
      <c r="K16" s="29">
        <f t="shared" si="1"/>
        <v>0.15000000000000008</v>
      </c>
    </row>
    <row r="17" spans="1:11" s="1" customFormat="1">
      <c r="A17" s="27">
        <v>1016</v>
      </c>
      <c r="B17" s="30">
        <v>45638</v>
      </c>
      <c r="C17" s="28" t="str">
        <f t="shared" si="0"/>
        <v>Dec</v>
      </c>
      <c r="D17" s="27" t="s">
        <v>12</v>
      </c>
      <c r="E17" s="27" t="str">
        <f t="shared" ca="1" si="2"/>
        <v>Aaradhya Singh</v>
      </c>
      <c r="F17" s="27" t="s">
        <v>52</v>
      </c>
      <c r="G17" s="27">
        <v>7</v>
      </c>
      <c r="H17" s="47">
        <v>289313</v>
      </c>
      <c r="I17" s="47">
        <v>240129.79</v>
      </c>
      <c r="J17" s="47">
        <v>49183.209999999992</v>
      </c>
      <c r="K17" s="29">
        <f t="shared" si="1"/>
        <v>0.16999999999999998</v>
      </c>
    </row>
    <row r="18" spans="1:11" s="1" customFormat="1">
      <c r="A18" s="27">
        <v>1017</v>
      </c>
      <c r="B18" s="30">
        <v>45618</v>
      </c>
      <c r="C18" s="28" t="str">
        <f t="shared" si="0"/>
        <v>Nov</v>
      </c>
      <c r="D18" s="27" t="s">
        <v>13</v>
      </c>
      <c r="E18" s="27" t="str">
        <f t="shared" ca="1" si="2"/>
        <v>Aashish Solankhi</v>
      </c>
      <c r="F18" s="27" t="s">
        <v>52</v>
      </c>
      <c r="G18" s="27">
        <v>4</v>
      </c>
      <c r="H18" s="47">
        <v>409069</v>
      </c>
      <c r="I18" s="47">
        <v>298620.37</v>
      </c>
      <c r="J18" s="47">
        <v>110448.63</v>
      </c>
      <c r="K18" s="29">
        <f t="shared" si="1"/>
        <v>0.27</v>
      </c>
    </row>
    <row r="19" spans="1:11" s="1" customFormat="1">
      <c r="A19" s="27">
        <v>1018</v>
      </c>
      <c r="B19" s="30">
        <v>45409</v>
      </c>
      <c r="C19" s="28" t="str">
        <f t="shared" si="0"/>
        <v>Apr</v>
      </c>
      <c r="D19" s="27" t="s">
        <v>8</v>
      </c>
      <c r="E19" s="27" t="str">
        <f t="shared" ca="1" si="2"/>
        <v>Aaradhya Singh</v>
      </c>
      <c r="F19" s="27" t="s">
        <v>17</v>
      </c>
      <c r="G19" s="27">
        <v>6</v>
      </c>
      <c r="H19" s="47">
        <v>289297</v>
      </c>
      <c r="I19" s="47">
        <v>243009.48</v>
      </c>
      <c r="J19" s="47">
        <v>46287.51999999999</v>
      </c>
      <c r="K19" s="29">
        <f t="shared" si="1"/>
        <v>0.15999999999999998</v>
      </c>
    </row>
    <row r="20" spans="1:11" s="1" customFormat="1">
      <c r="A20" s="27">
        <v>1019</v>
      </c>
      <c r="B20" s="30">
        <v>45586</v>
      </c>
      <c r="C20" s="28" t="str">
        <f t="shared" si="0"/>
        <v>Oct</v>
      </c>
      <c r="D20" s="27" t="s">
        <v>8</v>
      </c>
      <c r="E20" s="27" t="str">
        <f t="shared" ca="1" si="2"/>
        <v>Aashish Solankhi</v>
      </c>
      <c r="F20" s="27" t="s">
        <v>15</v>
      </c>
      <c r="G20" s="27">
        <v>10</v>
      </c>
      <c r="H20" s="47">
        <v>189603</v>
      </c>
      <c r="I20" s="47">
        <v>157370.49</v>
      </c>
      <c r="J20" s="47">
        <v>32232.510000000009</v>
      </c>
      <c r="K20" s="29">
        <f t="shared" si="1"/>
        <v>0.17000000000000004</v>
      </c>
    </row>
    <row r="21" spans="1:11" s="1" customFormat="1">
      <c r="A21" s="27">
        <v>1020</v>
      </c>
      <c r="B21" s="30">
        <v>45521</v>
      </c>
      <c r="C21" s="28" t="str">
        <f t="shared" si="0"/>
        <v>Aug</v>
      </c>
      <c r="D21" s="27" t="s">
        <v>11</v>
      </c>
      <c r="E21" s="27" t="str">
        <f t="shared" ca="1" si="2"/>
        <v>Amit Singh</v>
      </c>
      <c r="F21" s="27" t="s">
        <v>14</v>
      </c>
      <c r="G21" s="27">
        <v>3</v>
      </c>
      <c r="H21" s="47">
        <v>443785</v>
      </c>
      <c r="I21" s="47">
        <v>368341.55</v>
      </c>
      <c r="J21" s="47">
        <v>75443.450000000012</v>
      </c>
      <c r="K21" s="29">
        <f t="shared" si="1"/>
        <v>0.17000000000000004</v>
      </c>
    </row>
    <row r="22" spans="1:11" s="1" customFormat="1">
      <c r="A22" s="27">
        <v>1021</v>
      </c>
      <c r="B22" s="30">
        <v>45324</v>
      </c>
      <c r="C22" s="28" t="str">
        <f t="shared" si="0"/>
        <v>Feb</v>
      </c>
      <c r="D22" s="27" t="s">
        <v>11</v>
      </c>
      <c r="E22" s="27" t="str">
        <f t="shared" ca="1" si="2"/>
        <v>Neha Sharma</v>
      </c>
      <c r="F22" s="27" t="s">
        <v>17</v>
      </c>
      <c r="G22" s="27">
        <v>7</v>
      </c>
      <c r="H22" s="47">
        <v>269751</v>
      </c>
      <c r="I22" s="47">
        <v>196918.23</v>
      </c>
      <c r="J22" s="47">
        <v>72832.76999999999</v>
      </c>
      <c r="K22" s="29">
        <f t="shared" si="1"/>
        <v>0.26999999999999996</v>
      </c>
    </row>
    <row r="23" spans="1:11" s="1" customFormat="1">
      <c r="A23" s="27">
        <v>1022</v>
      </c>
      <c r="B23" s="30">
        <v>45463</v>
      </c>
      <c r="C23" s="28" t="str">
        <f t="shared" si="0"/>
        <v>Jun</v>
      </c>
      <c r="D23" s="27" t="s">
        <v>8</v>
      </c>
      <c r="E23" s="27" t="str">
        <f t="shared" ca="1" si="2"/>
        <v>Aaradhya Singh</v>
      </c>
      <c r="F23" s="27" t="s">
        <v>52</v>
      </c>
      <c r="G23" s="27">
        <v>9</v>
      </c>
      <c r="H23" s="47">
        <v>281371</v>
      </c>
      <c r="I23" s="47">
        <v>219469.38</v>
      </c>
      <c r="J23" s="47">
        <v>61901.619999999995</v>
      </c>
      <c r="K23" s="29">
        <f t="shared" si="1"/>
        <v>0.21999999999999997</v>
      </c>
    </row>
    <row r="24" spans="1:11" s="1" customFormat="1">
      <c r="A24" s="27">
        <v>1023</v>
      </c>
      <c r="B24" s="30">
        <v>45471</v>
      </c>
      <c r="C24" s="28" t="str">
        <f t="shared" si="0"/>
        <v>Jun</v>
      </c>
      <c r="D24" s="27" t="s">
        <v>12</v>
      </c>
      <c r="E24" s="27" t="str">
        <f t="shared" ca="1" si="2"/>
        <v>Raj Nair</v>
      </c>
      <c r="F24" s="27" t="s">
        <v>52</v>
      </c>
      <c r="G24" s="27">
        <v>9</v>
      </c>
      <c r="H24" s="47">
        <v>356083</v>
      </c>
      <c r="I24" s="47">
        <v>267062.25</v>
      </c>
      <c r="J24" s="47">
        <v>89020.75</v>
      </c>
      <c r="K24" s="29">
        <f t="shared" si="1"/>
        <v>0.25</v>
      </c>
    </row>
    <row r="25" spans="1:11" s="1" customFormat="1">
      <c r="A25" s="27">
        <v>1024</v>
      </c>
      <c r="B25" s="30">
        <v>45626</v>
      </c>
      <c r="C25" s="28" t="str">
        <f t="shared" si="0"/>
        <v>Nov</v>
      </c>
      <c r="D25" s="27" t="s">
        <v>8</v>
      </c>
      <c r="E25" s="27" t="str">
        <f t="shared" ca="1" si="2"/>
        <v>Shiv Dubey</v>
      </c>
      <c r="F25" s="27" t="s">
        <v>15</v>
      </c>
      <c r="G25" s="27">
        <v>10</v>
      </c>
      <c r="H25" s="47">
        <v>434838</v>
      </c>
      <c r="I25" s="47">
        <v>278296.32000000001</v>
      </c>
      <c r="J25" s="47">
        <v>156541.68</v>
      </c>
      <c r="K25" s="29">
        <f t="shared" si="1"/>
        <v>0.36</v>
      </c>
    </row>
    <row r="26" spans="1:11" s="1" customFormat="1">
      <c r="A26" s="27">
        <v>1025</v>
      </c>
      <c r="B26" s="30">
        <v>45565</v>
      </c>
      <c r="C26" s="28" t="str">
        <f t="shared" si="0"/>
        <v>Sep</v>
      </c>
      <c r="D26" s="27" t="s">
        <v>8</v>
      </c>
      <c r="E26" s="27" t="str">
        <f t="shared" ca="1" si="2"/>
        <v>Shiv Dubey</v>
      </c>
      <c r="F26" s="27" t="s">
        <v>15</v>
      </c>
      <c r="G26" s="27">
        <v>1</v>
      </c>
      <c r="H26" s="47">
        <v>192644</v>
      </c>
      <c r="I26" s="47">
        <v>142556.56</v>
      </c>
      <c r="J26" s="47">
        <v>50087.44</v>
      </c>
      <c r="K26" s="29">
        <f t="shared" si="1"/>
        <v>0.26</v>
      </c>
    </row>
    <row r="27" spans="1:11" s="1" customFormat="1">
      <c r="A27" s="27">
        <v>1026</v>
      </c>
      <c r="B27" s="30">
        <v>45341</v>
      </c>
      <c r="C27" s="28" t="str">
        <f t="shared" si="0"/>
        <v>Feb</v>
      </c>
      <c r="D27" s="27" t="s">
        <v>12</v>
      </c>
      <c r="E27" s="27" t="str">
        <f t="shared" ca="1" si="2"/>
        <v>Shiv Dubey</v>
      </c>
      <c r="F27" s="27" t="s">
        <v>16</v>
      </c>
      <c r="G27" s="27">
        <v>4</v>
      </c>
      <c r="H27" s="47">
        <v>112415</v>
      </c>
      <c r="I27" s="47">
        <v>82062.95</v>
      </c>
      <c r="J27" s="47">
        <v>30352.050000000003</v>
      </c>
      <c r="K27" s="29">
        <f t="shared" si="1"/>
        <v>0.27</v>
      </c>
    </row>
    <row r="28" spans="1:11" s="1" customFormat="1">
      <c r="A28" s="27">
        <v>1027</v>
      </c>
      <c r="B28" s="30">
        <v>45421</v>
      </c>
      <c r="C28" s="28" t="str">
        <f t="shared" si="0"/>
        <v>May</v>
      </c>
      <c r="D28" s="27" t="s">
        <v>13</v>
      </c>
      <c r="E28" s="27" t="str">
        <f t="shared" ca="1" si="2"/>
        <v>Aaradhya Singh</v>
      </c>
      <c r="F28" s="27" t="s">
        <v>10</v>
      </c>
      <c r="G28" s="27">
        <v>4</v>
      </c>
      <c r="H28" s="47">
        <v>181073</v>
      </c>
      <c r="I28" s="47">
        <v>117697.45</v>
      </c>
      <c r="J28" s="47">
        <v>63375.55</v>
      </c>
      <c r="K28" s="29">
        <f t="shared" si="1"/>
        <v>0.35000000000000003</v>
      </c>
    </row>
    <row r="29" spans="1:11" s="1" customFormat="1">
      <c r="A29" s="27">
        <v>1028</v>
      </c>
      <c r="B29" s="30">
        <v>45638</v>
      </c>
      <c r="C29" s="28" t="str">
        <f t="shared" si="0"/>
        <v>Dec</v>
      </c>
      <c r="D29" s="27" t="s">
        <v>13</v>
      </c>
      <c r="E29" s="27" t="str">
        <f t="shared" ca="1" si="2"/>
        <v>Amit Singh</v>
      </c>
      <c r="F29" s="27" t="s">
        <v>15</v>
      </c>
      <c r="G29" s="27">
        <v>9</v>
      </c>
      <c r="H29" s="47">
        <v>482969</v>
      </c>
      <c r="I29" s="47">
        <v>405693.96</v>
      </c>
      <c r="J29" s="47">
        <v>77275.039999999979</v>
      </c>
      <c r="K29" s="29">
        <f t="shared" si="1"/>
        <v>0.15999999999999995</v>
      </c>
    </row>
    <row r="30" spans="1:11" s="1" customFormat="1">
      <c r="A30" s="27">
        <v>1029</v>
      </c>
      <c r="B30" s="30">
        <v>45550</v>
      </c>
      <c r="C30" s="28" t="str">
        <f t="shared" si="0"/>
        <v>Sep</v>
      </c>
      <c r="D30" s="27" t="s">
        <v>11</v>
      </c>
      <c r="E30" s="27" t="str">
        <f t="shared" ca="1" si="2"/>
        <v>Ira Rajdev</v>
      </c>
      <c r="F30" s="27" t="s">
        <v>16</v>
      </c>
      <c r="G30" s="27">
        <v>1</v>
      </c>
      <c r="H30" s="47">
        <v>469414</v>
      </c>
      <c r="I30" s="47">
        <v>394307.76</v>
      </c>
      <c r="J30" s="47">
        <v>75106.239999999991</v>
      </c>
      <c r="K30" s="29">
        <f t="shared" si="1"/>
        <v>0.15999999999999998</v>
      </c>
    </row>
    <row r="31" spans="1:11" s="1" customFormat="1">
      <c r="A31" s="27">
        <v>1030</v>
      </c>
      <c r="B31" s="30">
        <v>45611</v>
      </c>
      <c r="C31" s="28" t="str">
        <f t="shared" si="0"/>
        <v>Nov</v>
      </c>
      <c r="D31" s="27" t="s">
        <v>13</v>
      </c>
      <c r="E31" s="27" t="str">
        <f t="shared" ca="1" si="2"/>
        <v>Ira Rajdev</v>
      </c>
      <c r="F31" s="27" t="s">
        <v>52</v>
      </c>
      <c r="G31" s="27">
        <v>3</v>
      </c>
      <c r="H31" s="47">
        <v>453038</v>
      </c>
      <c r="I31" s="47">
        <v>407734.2</v>
      </c>
      <c r="J31" s="47">
        <v>45303.799999999988</v>
      </c>
      <c r="K31" s="29">
        <f t="shared" si="1"/>
        <v>9.9999999999999978E-2</v>
      </c>
    </row>
    <row r="32" spans="1:11" s="1" customFormat="1">
      <c r="A32" s="27">
        <v>1031</v>
      </c>
      <c r="B32" s="30">
        <v>45473</v>
      </c>
      <c r="C32" s="28" t="str">
        <f t="shared" si="0"/>
        <v>Jun</v>
      </c>
      <c r="D32" s="27" t="s">
        <v>11</v>
      </c>
      <c r="E32" s="27" t="str">
        <f t="shared" ca="1" si="2"/>
        <v>Rajiv Kumar</v>
      </c>
      <c r="F32" s="27" t="s">
        <v>10</v>
      </c>
      <c r="G32" s="27">
        <v>5</v>
      </c>
      <c r="H32" s="47">
        <v>301266</v>
      </c>
      <c r="I32" s="47">
        <v>213898.86</v>
      </c>
      <c r="J32" s="47">
        <v>87367.140000000014</v>
      </c>
      <c r="K32" s="29">
        <f t="shared" si="1"/>
        <v>0.29000000000000004</v>
      </c>
    </row>
    <row r="33" spans="1:11" s="1" customFormat="1">
      <c r="A33" s="27">
        <v>1032</v>
      </c>
      <c r="B33" s="30">
        <v>45421</v>
      </c>
      <c r="C33" s="28" t="str">
        <f t="shared" si="0"/>
        <v>May</v>
      </c>
      <c r="D33" s="27" t="s">
        <v>12</v>
      </c>
      <c r="E33" s="27" t="str">
        <f t="shared" ca="1" si="2"/>
        <v>Aaradhya Singh</v>
      </c>
      <c r="F33" s="27" t="s">
        <v>16</v>
      </c>
      <c r="G33" s="27">
        <v>1</v>
      </c>
      <c r="H33" s="47">
        <v>483915</v>
      </c>
      <c r="I33" s="47">
        <v>377453.7</v>
      </c>
      <c r="J33" s="47">
        <v>106461.29999999999</v>
      </c>
      <c r="K33" s="29">
        <f t="shared" si="1"/>
        <v>0.21999999999999997</v>
      </c>
    </row>
    <row r="34" spans="1:11" s="1" customFormat="1">
      <c r="A34" s="27">
        <v>1033</v>
      </c>
      <c r="B34" s="30">
        <v>45627</v>
      </c>
      <c r="C34" s="28" t="str">
        <f t="shared" si="0"/>
        <v>Dec</v>
      </c>
      <c r="D34" s="27" t="s">
        <v>8</v>
      </c>
      <c r="E34" s="27" t="str">
        <f t="shared" ca="1" si="2"/>
        <v>Amit Singh</v>
      </c>
      <c r="F34" s="27" t="s">
        <v>10</v>
      </c>
      <c r="G34" s="27">
        <v>1</v>
      </c>
      <c r="H34" s="47">
        <v>164829</v>
      </c>
      <c r="I34" s="47">
        <v>117028.59</v>
      </c>
      <c r="J34" s="47">
        <v>47800.41</v>
      </c>
      <c r="K34" s="29">
        <f t="shared" si="1"/>
        <v>0.29000000000000004</v>
      </c>
    </row>
    <row r="35" spans="1:11" s="1" customFormat="1">
      <c r="A35" s="27">
        <v>1034</v>
      </c>
      <c r="B35" s="30">
        <v>45355</v>
      </c>
      <c r="C35" s="28" t="str">
        <f t="shared" si="0"/>
        <v>Mar</v>
      </c>
      <c r="D35" s="27" t="s">
        <v>13</v>
      </c>
      <c r="E35" s="27" t="str">
        <f t="shared" ca="1" si="2"/>
        <v>Neha Sharma</v>
      </c>
      <c r="F35" s="27" t="s">
        <v>17</v>
      </c>
      <c r="G35" s="27">
        <v>3</v>
      </c>
      <c r="H35" s="47">
        <v>155518</v>
      </c>
      <c r="I35" s="47">
        <v>115083.32</v>
      </c>
      <c r="J35" s="47">
        <v>40434.679999999993</v>
      </c>
      <c r="K35" s="29">
        <f t="shared" si="1"/>
        <v>0.25999999999999995</v>
      </c>
    </row>
    <row r="36" spans="1:11" s="1" customFormat="1">
      <c r="A36" s="27">
        <v>1035</v>
      </c>
      <c r="B36" s="30">
        <v>45511</v>
      </c>
      <c r="C36" s="28" t="str">
        <f t="shared" si="0"/>
        <v>Aug</v>
      </c>
      <c r="D36" s="27" t="s">
        <v>13</v>
      </c>
      <c r="E36" s="27" t="str">
        <f t="shared" ca="1" si="2"/>
        <v>Rajiv Kumar</v>
      </c>
      <c r="F36" s="27" t="s">
        <v>17</v>
      </c>
      <c r="G36" s="27">
        <v>8</v>
      </c>
      <c r="H36" s="47">
        <v>338026</v>
      </c>
      <c r="I36" s="47">
        <v>239998.46</v>
      </c>
      <c r="J36" s="47">
        <v>98027.540000000008</v>
      </c>
      <c r="K36" s="29">
        <f t="shared" si="1"/>
        <v>0.29000000000000004</v>
      </c>
    </row>
    <row r="37" spans="1:11" s="1" customFormat="1">
      <c r="A37" s="27">
        <v>1036</v>
      </c>
      <c r="B37" s="30">
        <v>45472</v>
      </c>
      <c r="C37" s="28" t="str">
        <f t="shared" si="0"/>
        <v>Jun</v>
      </c>
      <c r="D37" s="27" t="s">
        <v>13</v>
      </c>
      <c r="E37" s="27" t="str">
        <f t="shared" ca="1" si="2"/>
        <v>Shiv Dubey</v>
      </c>
      <c r="F37" s="27" t="s">
        <v>10</v>
      </c>
      <c r="G37" s="27">
        <v>5</v>
      </c>
      <c r="H37" s="47">
        <v>148349</v>
      </c>
      <c r="I37" s="47">
        <v>129063.63</v>
      </c>
      <c r="J37" s="47">
        <v>19285.369999999995</v>
      </c>
      <c r="K37" s="29">
        <f t="shared" si="1"/>
        <v>0.12999999999999998</v>
      </c>
    </row>
    <row r="38" spans="1:11" s="1" customFormat="1">
      <c r="A38" s="27">
        <v>1037</v>
      </c>
      <c r="B38" s="30">
        <v>45355</v>
      </c>
      <c r="C38" s="28" t="str">
        <f t="shared" si="0"/>
        <v>Mar</v>
      </c>
      <c r="D38" s="27" t="s">
        <v>8</v>
      </c>
      <c r="E38" s="27" t="str">
        <f t="shared" ca="1" si="2"/>
        <v>Amit Singh</v>
      </c>
      <c r="F38" s="27" t="s">
        <v>10</v>
      </c>
      <c r="G38" s="27">
        <v>9</v>
      </c>
      <c r="H38" s="47">
        <v>393361</v>
      </c>
      <c r="I38" s="47">
        <v>346157.68</v>
      </c>
      <c r="J38" s="47">
        <v>47203.320000000007</v>
      </c>
      <c r="K38" s="29">
        <f t="shared" si="1"/>
        <v>0.12000000000000002</v>
      </c>
    </row>
    <row r="39" spans="1:11" s="1" customFormat="1">
      <c r="A39" s="27">
        <v>1038</v>
      </c>
      <c r="B39" s="30">
        <v>45634</v>
      </c>
      <c r="C39" s="28" t="str">
        <f t="shared" si="0"/>
        <v>Dec</v>
      </c>
      <c r="D39" s="27" t="s">
        <v>11</v>
      </c>
      <c r="E39" s="27" t="str">
        <f t="shared" ca="1" si="2"/>
        <v>Shiv Dubey</v>
      </c>
      <c r="F39" s="27" t="s">
        <v>14</v>
      </c>
      <c r="G39" s="27">
        <v>10</v>
      </c>
      <c r="H39" s="47">
        <v>418173</v>
      </c>
      <c r="I39" s="47">
        <v>280175.90999999997</v>
      </c>
      <c r="J39" s="47">
        <v>137997.09000000003</v>
      </c>
      <c r="K39" s="29">
        <f t="shared" si="1"/>
        <v>0.33000000000000007</v>
      </c>
    </row>
    <row r="40" spans="1:11" s="1" customFormat="1">
      <c r="A40" s="27">
        <v>1039</v>
      </c>
      <c r="B40" s="30">
        <v>45355</v>
      </c>
      <c r="C40" s="28" t="str">
        <f t="shared" si="0"/>
        <v>Mar</v>
      </c>
      <c r="D40" s="27" t="s">
        <v>8</v>
      </c>
      <c r="E40" s="27" t="str">
        <f t="shared" ca="1" si="2"/>
        <v>Aaradhya Singh</v>
      </c>
      <c r="F40" s="27" t="s">
        <v>15</v>
      </c>
      <c r="G40" s="27">
        <v>4</v>
      </c>
      <c r="H40" s="47">
        <v>325918</v>
      </c>
      <c r="I40" s="47">
        <v>280289.48</v>
      </c>
      <c r="J40" s="47">
        <v>45628.520000000019</v>
      </c>
      <c r="K40" s="29">
        <f t="shared" si="1"/>
        <v>0.14000000000000007</v>
      </c>
    </row>
    <row r="41" spans="1:11" s="1" customFormat="1">
      <c r="A41" s="27">
        <v>1040</v>
      </c>
      <c r="B41" s="30">
        <v>45607</v>
      </c>
      <c r="C41" s="28" t="str">
        <f t="shared" si="0"/>
        <v>Nov</v>
      </c>
      <c r="D41" s="27" t="s">
        <v>11</v>
      </c>
      <c r="E41" s="27" t="str">
        <f t="shared" ca="1" si="2"/>
        <v>Ira Rajdev</v>
      </c>
      <c r="F41" s="27" t="s">
        <v>10</v>
      </c>
      <c r="G41" s="27">
        <v>8</v>
      </c>
      <c r="H41" s="47">
        <v>317927</v>
      </c>
      <c r="I41" s="47">
        <v>279775.76</v>
      </c>
      <c r="J41" s="47">
        <v>38151.239999999991</v>
      </c>
      <c r="K41" s="29">
        <f t="shared" si="1"/>
        <v>0.11999999999999997</v>
      </c>
    </row>
    <row r="42" spans="1:11" s="1" customFormat="1">
      <c r="A42" s="27">
        <v>1041</v>
      </c>
      <c r="B42" s="30">
        <v>45413</v>
      </c>
      <c r="C42" s="28" t="str">
        <f t="shared" si="0"/>
        <v>May</v>
      </c>
      <c r="D42" s="27" t="s">
        <v>13</v>
      </c>
      <c r="E42" s="27" t="str">
        <f t="shared" ca="1" si="2"/>
        <v>Aaradhya Singh</v>
      </c>
      <c r="F42" s="27" t="s">
        <v>17</v>
      </c>
      <c r="G42" s="27">
        <v>5</v>
      </c>
      <c r="H42" s="47">
        <v>273091</v>
      </c>
      <c r="I42" s="47">
        <v>182970.97</v>
      </c>
      <c r="J42" s="47">
        <v>90120.03</v>
      </c>
      <c r="K42" s="29">
        <f t="shared" si="1"/>
        <v>0.33</v>
      </c>
    </row>
    <row r="43" spans="1:11" s="1" customFormat="1">
      <c r="A43" s="27">
        <v>1042</v>
      </c>
      <c r="B43" s="30">
        <v>45532</v>
      </c>
      <c r="C43" s="28" t="str">
        <f t="shared" si="0"/>
        <v>Aug</v>
      </c>
      <c r="D43" s="27" t="s">
        <v>8</v>
      </c>
      <c r="E43" s="27" t="str">
        <f t="shared" ca="1" si="2"/>
        <v>Aaradhya Singh</v>
      </c>
      <c r="F43" s="27" t="s">
        <v>16</v>
      </c>
      <c r="G43" s="27">
        <v>6</v>
      </c>
      <c r="H43" s="47">
        <v>115603</v>
      </c>
      <c r="I43" s="47">
        <v>94794.46</v>
      </c>
      <c r="J43" s="47">
        <v>20808.539999999994</v>
      </c>
      <c r="K43" s="29">
        <f t="shared" si="1"/>
        <v>0.17999999999999994</v>
      </c>
    </row>
    <row r="44" spans="1:11" s="1" customFormat="1">
      <c r="A44" s="27">
        <v>1043</v>
      </c>
      <c r="B44" s="30">
        <v>45631</v>
      </c>
      <c r="C44" s="28" t="str">
        <f t="shared" si="0"/>
        <v>Dec</v>
      </c>
      <c r="D44" s="27" t="s">
        <v>13</v>
      </c>
      <c r="E44" s="27" t="str">
        <f t="shared" ca="1" si="2"/>
        <v>Rajiv Kumar</v>
      </c>
      <c r="F44" s="27" t="s">
        <v>15</v>
      </c>
      <c r="G44" s="27">
        <v>10</v>
      </c>
      <c r="H44" s="47">
        <v>490769</v>
      </c>
      <c r="I44" s="47">
        <v>368076.75</v>
      </c>
      <c r="J44" s="47">
        <v>122692.25</v>
      </c>
      <c r="K44" s="29">
        <f t="shared" si="1"/>
        <v>0.25</v>
      </c>
    </row>
    <row r="45" spans="1:11" s="1" customFormat="1">
      <c r="A45" s="27">
        <v>1044</v>
      </c>
      <c r="B45" s="30">
        <v>45359</v>
      </c>
      <c r="C45" s="28" t="str">
        <f t="shared" si="0"/>
        <v>Mar</v>
      </c>
      <c r="D45" s="27" t="s">
        <v>13</v>
      </c>
      <c r="E45" s="27" t="str">
        <f t="shared" ca="1" si="2"/>
        <v>Ira Rajdev</v>
      </c>
      <c r="F45" s="27" t="s">
        <v>15</v>
      </c>
      <c r="G45" s="27">
        <v>8</v>
      </c>
      <c r="H45" s="47">
        <v>377726</v>
      </c>
      <c r="I45" s="47">
        <v>309735.32</v>
      </c>
      <c r="J45" s="47">
        <v>67990.679999999993</v>
      </c>
      <c r="K45" s="29">
        <f t="shared" si="1"/>
        <v>0.18</v>
      </c>
    </row>
    <row r="46" spans="1:11" s="1" customFormat="1">
      <c r="A46" s="27">
        <v>1045</v>
      </c>
      <c r="B46" s="30">
        <v>45539</v>
      </c>
      <c r="C46" s="28" t="str">
        <f t="shared" si="0"/>
        <v>Sep</v>
      </c>
      <c r="D46" s="27" t="s">
        <v>11</v>
      </c>
      <c r="E46" s="27" t="str">
        <f t="shared" ca="1" si="2"/>
        <v>Aaradhya Singh</v>
      </c>
      <c r="F46" s="27" t="s">
        <v>10</v>
      </c>
      <c r="G46" s="27">
        <v>2</v>
      </c>
      <c r="H46" s="47">
        <v>137366</v>
      </c>
      <c r="I46" s="47">
        <v>98903.52</v>
      </c>
      <c r="J46" s="47">
        <v>38462.479999999996</v>
      </c>
      <c r="K46" s="29">
        <f t="shared" si="1"/>
        <v>0.27999999999999997</v>
      </c>
    </row>
    <row r="47" spans="1:11" s="1" customFormat="1">
      <c r="A47" s="27">
        <v>1046</v>
      </c>
      <c r="B47" s="30">
        <v>45582</v>
      </c>
      <c r="C47" s="28" t="str">
        <f t="shared" si="0"/>
        <v>Oct</v>
      </c>
      <c r="D47" s="27" t="s">
        <v>8</v>
      </c>
      <c r="E47" s="27" t="str">
        <f t="shared" ca="1" si="2"/>
        <v>Amit Singh</v>
      </c>
      <c r="F47" s="27" t="s">
        <v>52</v>
      </c>
      <c r="G47" s="27">
        <v>3</v>
      </c>
      <c r="H47" s="47">
        <v>136073</v>
      </c>
      <c r="I47" s="47">
        <v>110219.13</v>
      </c>
      <c r="J47" s="47">
        <v>25853.869999999995</v>
      </c>
      <c r="K47" s="29">
        <f t="shared" si="1"/>
        <v>0.18999999999999997</v>
      </c>
    </row>
    <row r="48" spans="1:11" s="1" customFormat="1">
      <c r="A48" s="27">
        <v>1047</v>
      </c>
      <c r="B48" s="30">
        <v>45391</v>
      </c>
      <c r="C48" s="28" t="str">
        <f t="shared" si="0"/>
        <v>Apr</v>
      </c>
      <c r="D48" s="27" t="s">
        <v>13</v>
      </c>
      <c r="E48" s="27" t="str">
        <f t="shared" ca="1" si="2"/>
        <v>Raj Nair</v>
      </c>
      <c r="F48" s="27" t="s">
        <v>10</v>
      </c>
      <c r="G48" s="27">
        <v>1</v>
      </c>
      <c r="H48" s="47">
        <v>432121</v>
      </c>
      <c r="I48" s="47">
        <v>293842.28000000003</v>
      </c>
      <c r="J48" s="47">
        <v>138278.71999999997</v>
      </c>
      <c r="K48" s="29">
        <f t="shared" si="1"/>
        <v>0.31999999999999995</v>
      </c>
    </row>
    <row r="49" spans="1:11" s="1" customFormat="1">
      <c r="A49" s="27">
        <v>1048</v>
      </c>
      <c r="B49" s="30">
        <v>45368</v>
      </c>
      <c r="C49" s="28" t="str">
        <f t="shared" si="0"/>
        <v>Mar</v>
      </c>
      <c r="D49" s="27" t="s">
        <v>12</v>
      </c>
      <c r="E49" s="27" t="str">
        <f t="shared" ca="1" si="2"/>
        <v>Amit Singh</v>
      </c>
      <c r="F49" s="27" t="s">
        <v>17</v>
      </c>
      <c r="G49" s="27">
        <v>9</v>
      </c>
      <c r="H49" s="47">
        <v>123098</v>
      </c>
      <c r="I49" s="47">
        <v>109557.22</v>
      </c>
      <c r="J49" s="47">
        <v>13540.779999999999</v>
      </c>
      <c r="K49" s="29">
        <f t="shared" si="1"/>
        <v>0.10999999999999999</v>
      </c>
    </row>
    <row r="50" spans="1:11" s="1" customFormat="1">
      <c r="A50" s="27">
        <v>1049</v>
      </c>
      <c r="B50" s="30">
        <v>45418</v>
      </c>
      <c r="C50" s="28" t="str">
        <f t="shared" si="0"/>
        <v>May</v>
      </c>
      <c r="D50" s="27" t="s">
        <v>12</v>
      </c>
      <c r="E50" s="27" t="str">
        <f t="shared" ca="1" si="2"/>
        <v>Neha Sharma</v>
      </c>
      <c r="F50" s="27" t="s">
        <v>17</v>
      </c>
      <c r="G50" s="27">
        <v>1</v>
      </c>
      <c r="H50" s="47">
        <v>109962</v>
      </c>
      <c r="I50" s="47">
        <v>67076.820000000007</v>
      </c>
      <c r="J50" s="47">
        <v>42885.179999999993</v>
      </c>
      <c r="K50" s="29">
        <f t="shared" si="1"/>
        <v>0.38999999999999996</v>
      </c>
    </row>
    <row r="51" spans="1:11" s="1" customFormat="1">
      <c r="A51" s="27">
        <v>1050</v>
      </c>
      <c r="B51" s="30">
        <v>45578</v>
      </c>
      <c r="C51" s="28" t="str">
        <f t="shared" si="0"/>
        <v>Oct</v>
      </c>
      <c r="D51" s="27" t="s">
        <v>12</v>
      </c>
      <c r="E51" s="27" t="str">
        <f t="shared" ca="1" si="2"/>
        <v>Rajiv Kumar</v>
      </c>
      <c r="F51" s="27" t="s">
        <v>17</v>
      </c>
      <c r="G51" s="27">
        <v>9</v>
      </c>
      <c r="H51" s="47">
        <v>265887</v>
      </c>
      <c r="I51" s="47">
        <v>170167.67999999999</v>
      </c>
      <c r="J51" s="47">
        <v>95719.32</v>
      </c>
      <c r="K51" s="29">
        <f t="shared" si="1"/>
        <v>0.36000000000000004</v>
      </c>
    </row>
    <row r="52" spans="1:11" s="1" customFormat="1">
      <c r="A52" s="27">
        <v>1051</v>
      </c>
      <c r="B52" s="30">
        <v>45458</v>
      </c>
      <c r="C52" s="28" t="str">
        <f t="shared" si="0"/>
        <v>Jun</v>
      </c>
      <c r="D52" s="27" t="s">
        <v>11</v>
      </c>
      <c r="E52" s="27" t="str">
        <f t="shared" ca="1" si="2"/>
        <v>Amit Singh</v>
      </c>
      <c r="F52" s="27" t="s">
        <v>16</v>
      </c>
      <c r="G52" s="27">
        <v>4</v>
      </c>
      <c r="H52" s="47">
        <v>435416</v>
      </c>
      <c r="I52" s="47">
        <v>348332.79999999999</v>
      </c>
      <c r="J52" s="47">
        <v>87083.200000000012</v>
      </c>
      <c r="K52" s="29">
        <f t="shared" si="1"/>
        <v>0.20000000000000004</v>
      </c>
    </row>
    <row r="53" spans="1:11" s="1" customFormat="1">
      <c r="A53" s="27">
        <v>1052</v>
      </c>
      <c r="B53" s="30">
        <v>45479</v>
      </c>
      <c r="C53" s="28" t="str">
        <f t="shared" si="0"/>
        <v>Jul</v>
      </c>
      <c r="D53" s="27" t="s">
        <v>11</v>
      </c>
      <c r="E53" s="27" t="str">
        <f t="shared" ca="1" si="2"/>
        <v>Shiv Dubey</v>
      </c>
      <c r="F53" s="27" t="s">
        <v>15</v>
      </c>
      <c r="G53" s="27">
        <v>2</v>
      </c>
      <c r="H53" s="47">
        <v>422237</v>
      </c>
      <c r="I53" s="47">
        <v>266009.31</v>
      </c>
      <c r="J53" s="47">
        <v>156227.69</v>
      </c>
      <c r="K53" s="29">
        <f t="shared" si="1"/>
        <v>0.37</v>
      </c>
    </row>
    <row r="54" spans="1:11" s="1" customFormat="1">
      <c r="A54" s="27">
        <v>1053</v>
      </c>
      <c r="B54" s="30">
        <v>45371</v>
      </c>
      <c r="C54" s="28" t="str">
        <f t="shared" si="0"/>
        <v>Mar</v>
      </c>
      <c r="D54" s="27" t="s">
        <v>13</v>
      </c>
      <c r="E54" s="27" t="str">
        <f t="shared" ca="1" si="2"/>
        <v>Neha Sharma</v>
      </c>
      <c r="F54" s="27" t="s">
        <v>15</v>
      </c>
      <c r="G54" s="27">
        <v>10</v>
      </c>
      <c r="H54" s="47">
        <v>470977</v>
      </c>
      <c r="I54" s="47">
        <v>334393.67</v>
      </c>
      <c r="J54" s="47">
        <v>136583.33000000002</v>
      </c>
      <c r="K54" s="29">
        <f t="shared" si="1"/>
        <v>0.29000000000000004</v>
      </c>
    </row>
    <row r="55" spans="1:11" s="1" customFormat="1">
      <c r="A55" s="27">
        <v>1054</v>
      </c>
      <c r="B55" s="30">
        <v>45316</v>
      </c>
      <c r="C55" s="28" t="str">
        <f t="shared" si="0"/>
        <v>Jan</v>
      </c>
      <c r="D55" s="27" t="s">
        <v>13</v>
      </c>
      <c r="E55" s="27" t="str">
        <f t="shared" ca="1" si="2"/>
        <v>Rajiv Kumar</v>
      </c>
      <c r="F55" s="27" t="s">
        <v>17</v>
      </c>
      <c r="G55" s="27">
        <v>10</v>
      </c>
      <c r="H55" s="47">
        <v>165847</v>
      </c>
      <c r="I55" s="47">
        <v>112775.96</v>
      </c>
      <c r="J55" s="47">
        <v>53071.039999999994</v>
      </c>
      <c r="K55" s="29">
        <f t="shared" si="1"/>
        <v>0.31999999999999995</v>
      </c>
    </row>
    <row r="56" spans="1:11" s="1" customFormat="1">
      <c r="A56" s="27">
        <v>1055</v>
      </c>
      <c r="B56" s="30">
        <v>45345</v>
      </c>
      <c r="C56" s="28" t="str">
        <f t="shared" si="0"/>
        <v>Feb</v>
      </c>
      <c r="D56" s="27" t="s">
        <v>13</v>
      </c>
      <c r="E56" s="27" t="str">
        <f t="shared" ca="1" si="2"/>
        <v>Aaradhya Singh</v>
      </c>
      <c r="F56" s="27" t="s">
        <v>10</v>
      </c>
      <c r="G56" s="27">
        <v>5</v>
      </c>
      <c r="H56" s="47">
        <v>449250</v>
      </c>
      <c r="I56" s="47">
        <v>269550</v>
      </c>
      <c r="J56" s="47">
        <v>179700</v>
      </c>
      <c r="K56" s="29">
        <f t="shared" si="1"/>
        <v>0.4</v>
      </c>
    </row>
    <row r="57" spans="1:11" s="1" customFormat="1">
      <c r="A57" s="27">
        <v>1056</v>
      </c>
      <c r="B57" s="30">
        <v>45568</v>
      </c>
      <c r="C57" s="28" t="str">
        <f t="shared" si="0"/>
        <v>Oct</v>
      </c>
      <c r="D57" s="27" t="s">
        <v>13</v>
      </c>
      <c r="E57" s="27" t="str">
        <f t="shared" ca="1" si="2"/>
        <v>Aashish Solankhi</v>
      </c>
      <c r="F57" s="27" t="s">
        <v>17</v>
      </c>
      <c r="G57" s="27">
        <v>3</v>
      </c>
      <c r="H57" s="47">
        <v>219119</v>
      </c>
      <c r="I57" s="47">
        <v>133662.59</v>
      </c>
      <c r="J57" s="47">
        <v>85456.41</v>
      </c>
      <c r="K57" s="29">
        <f t="shared" si="1"/>
        <v>0.39</v>
      </c>
    </row>
    <row r="58" spans="1:11" s="1" customFormat="1">
      <c r="A58" s="27">
        <v>1057</v>
      </c>
      <c r="B58" s="30">
        <v>45310</v>
      </c>
      <c r="C58" s="28" t="str">
        <f t="shared" si="0"/>
        <v>Jan</v>
      </c>
      <c r="D58" s="27" t="s">
        <v>12</v>
      </c>
      <c r="E58" s="27" t="str">
        <f t="shared" ca="1" si="2"/>
        <v>Raj Nair</v>
      </c>
      <c r="F58" s="27" t="s">
        <v>17</v>
      </c>
      <c r="G58" s="27">
        <v>8</v>
      </c>
      <c r="H58" s="47">
        <v>178327</v>
      </c>
      <c r="I58" s="47">
        <v>119479.09</v>
      </c>
      <c r="J58" s="47">
        <v>58847.91</v>
      </c>
      <c r="K58" s="29">
        <f t="shared" si="1"/>
        <v>0.33</v>
      </c>
    </row>
    <row r="59" spans="1:11" s="1" customFormat="1">
      <c r="A59" s="27">
        <v>1058</v>
      </c>
      <c r="B59" s="30">
        <v>45459</v>
      </c>
      <c r="C59" s="28" t="str">
        <f t="shared" si="0"/>
        <v>Jun</v>
      </c>
      <c r="D59" s="27" t="s">
        <v>13</v>
      </c>
      <c r="E59" s="27" t="str">
        <f t="shared" ca="1" si="2"/>
        <v>Rajiv Kumar</v>
      </c>
      <c r="F59" s="27" t="s">
        <v>52</v>
      </c>
      <c r="G59" s="27">
        <v>4</v>
      </c>
      <c r="H59" s="47">
        <v>257646</v>
      </c>
      <c r="I59" s="47">
        <v>157164.06</v>
      </c>
      <c r="J59" s="47">
        <v>100481.94</v>
      </c>
      <c r="K59" s="29">
        <f t="shared" si="1"/>
        <v>0.39</v>
      </c>
    </row>
    <row r="60" spans="1:11" s="1" customFormat="1">
      <c r="A60" s="27">
        <v>1059</v>
      </c>
      <c r="B60" s="30">
        <v>45481</v>
      </c>
      <c r="C60" s="28" t="str">
        <f t="shared" si="0"/>
        <v>Jul</v>
      </c>
      <c r="D60" s="27" t="s">
        <v>13</v>
      </c>
      <c r="E60" s="27" t="str">
        <f t="shared" ca="1" si="2"/>
        <v>Aashish Solankhi</v>
      </c>
      <c r="F60" s="27" t="s">
        <v>52</v>
      </c>
      <c r="G60" s="27">
        <v>6</v>
      </c>
      <c r="H60" s="47">
        <v>316848</v>
      </c>
      <c r="I60" s="47">
        <v>256646.88</v>
      </c>
      <c r="J60" s="47">
        <v>60201.119999999995</v>
      </c>
      <c r="K60" s="29">
        <f t="shared" si="1"/>
        <v>0.18999999999999997</v>
      </c>
    </row>
    <row r="61" spans="1:11" s="1" customFormat="1">
      <c r="A61" s="27">
        <v>1060</v>
      </c>
      <c r="B61" s="30">
        <v>45442</v>
      </c>
      <c r="C61" s="28" t="str">
        <f t="shared" si="0"/>
        <v>May</v>
      </c>
      <c r="D61" s="27" t="s">
        <v>13</v>
      </c>
      <c r="E61" s="27" t="str">
        <f t="shared" ca="1" si="2"/>
        <v>Shiv Dubey</v>
      </c>
      <c r="F61" s="27" t="s">
        <v>16</v>
      </c>
      <c r="G61" s="27">
        <v>5</v>
      </c>
      <c r="H61" s="47">
        <v>481501</v>
      </c>
      <c r="I61" s="47">
        <v>390015.81</v>
      </c>
      <c r="J61" s="47">
        <v>91485.19</v>
      </c>
      <c r="K61" s="29">
        <f t="shared" si="1"/>
        <v>0.19</v>
      </c>
    </row>
    <row r="62" spans="1:11" s="1" customFormat="1">
      <c r="A62" s="27">
        <v>1061</v>
      </c>
      <c r="B62" s="30">
        <v>45368</v>
      </c>
      <c r="C62" s="28" t="str">
        <f t="shared" si="0"/>
        <v>Mar</v>
      </c>
      <c r="D62" s="27" t="s">
        <v>8</v>
      </c>
      <c r="E62" s="27" t="str">
        <f t="shared" ca="1" si="2"/>
        <v>Aaradhya Singh</v>
      </c>
      <c r="F62" s="27" t="s">
        <v>10</v>
      </c>
      <c r="G62" s="27">
        <v>8</v>
      </c>
      <c r="H62" s="47">
        <v>493788</v>
      </c>
      <c r="I62" s="47">
        <v>325900.08</v>
      </c>
      <c r="J62" s="47">
        <v>167887.91999999998</v>
      </c>
      <c r="K62" s="29">
        <f t="shared" si="1"/>
        <v>0.33999999999999997</v>
      </c>
    </row>
    <row r="63" spans="1:11" s="1" customFormat="1">
      <c r="A63" s="27">
        <v>1062</v>
      </c>
      <c r="B63" s="30">
        <v>45649</v>
      </c>
      <c r="C63" s="28" t="str">
        <f t="shared" si="0"/>
        <v>Dec</v>
      </c>
      <c r="D63" s="27" t="s">
        <v>13</v>
      </c>
      <c r="E63" s="27" t="str">
        <f t="shared" ca="1" si="2"/>
        <v>Amit Singh</v>
      </c>
      <c r="F63" s="27" t="s">
        <v>16</v>
      </c>
      <c r="G63" s="27">
        <v>8</v>
      </c>
      <c r="H63" s="47">
        <v>352331</v>
      </c>
      <c r="I63" s="47">
        <v>232538.46</v>
      </c>
      <c r="J63" s="47">
        <v>119792.54000000001</v>
      </c>
      <c r="K63" s="29">
        <f t="shared" si="1"/>
        <v>0.34</v>
      </c>
    </row>
    <row r="64" spans="1:11" s="1" customFormat="1">
      <c r="A64" s="27">
        <v>1063</v>
      </c>
      <c r="B64" s="30">
        <v>45359</v>
      </c>
      <c r="C64" s="28" t="str">
        <f t="shared" si="0"/>
        <v>Mar</v>
      </c>
      <c r="D64" s="27" t="s">
        <v>8</v>
      </c>
      <c r="E64" s="27" t="str">
        <f t="shared" ca="1" si="2"/>
        <v>Rajiv Kumar</v>
      </c>
      <c r="F64" s="27" t="s">
        <v>16</v>
      </c>
      <c r="G64" s="27">
        <v>2</v>
      </c>
      <c r="H64" s="47">
        <v>348977</v>
      </c>
      <c r="I64" s="47">
        <v>209386.2</v>
      </c>
      <c r="J64" s="47">
        <v>139590.79999999999</v>
      </c>
      <c r="K64" s="29">
        <f t="shared" si="1"/>
        <v>0.39999999999999997</v>
      </c>
    </row>
    <row r="65" spans="1:11" s="1" customFormat="1">
      <c r="A65" s="27">
        <v>1064</v>
      </c>
      <c r="B65" s="30">
        <v>45419</v>
      </c>
      <c r="C65" s="28" t="str">
        <f t="shared" si="0"/>
        <v>May</v>
      </c>
      <c r="D65" s="27" t="s">
        <v>11</v>
      </c>
      <c r="E65" s="27" t="str">
        <f t="shared" ca="1" si="2"/>
        <v>Neha Sharma</v>
      </c>
      <c r="F65" s="27" t="s">
        <v>16</v>
      </c>
      <c r="G65" s="27">
        <v>6</v>
      </c>
      <c r="H65" s="47">
        <v>447691</v>
      </c>
      <c r="I65" s="47">
        <v>313383.7</v>
      </c>
      <c r="J65" s="47">
        <v>134307.29999999999</v>
      </c>
      <c r="K65" s="29">
        <f t="shared" si="1"/>
        <v>0.3</v>
      </c>
    </row>
    <row r="66" spans="1:11" s="1" customFormat="1">
      <c r="A66" s="27">
        <v>1065</v>
      </c>
      <c r="B66" s="30">
        <v>45584</v>
      </c>
      <c r="C66" s="28" t="str">
        <f t="shared" si="0"/>
        <v>Oct</v>
      </c>
      <c r="D66" s="27" t="s">
        <v>11</v>
      </c>
      <c r="E66" s="27" t="str">
        <f t="shared" ca="1" si="2"/>
        <v>Aashish Solankhi</v>
      </c>
      <c r="F66" s="27" t="s">
        <v>15</v>
      </c>
      <c r="G66" s="27">
        <v>5</v>
      </c>
      <c r="H66" s="47">
        <v>307587</v>
      </c>
      <c r="I66" s="47">
        <v>236841.99</v>
      </c>
      <c r="J66" s="47">
        <v>70745.010000000009</v>
      </c>
      <c r="K66" s="29">
        <f t="shared" si="1"/>
        <v>0.23000000000000004</v>
      </c>
    </row>
    <row r="67" spans="1:11" s="1" customFormat="1">
      <c r="A67" s="27">
        <v>1066</v>
      </c>
      <c r="B67" s="30">
        <v>45612</v>
      </c>
      <c r="C67" s="28" t="str">
        <f t="shared" ref="C67:C130" si="3">TEXT(B67,"mmm")</f>
        <v>Nov</v>
      </c>
      <c r="D67" s="27" t="s">
        <v>8</v>
      </c>
      <c r="E67" s="27" t="str">
        <f t="shared" ca="1" si="2"/>
        <v>Rajiv Kumar</v>
      </c>
      <c r="F67" s="27" t="s">
        <v>16</v>
      </c>
      <c r="G67" s="27">
        <v>10</v>
      </c>
      <c r="H67" s="47">
        <v>423443</v>
      </c>
      <c r="I67" s="47">
        <v>330285.53999999998</v>
      </c>
      <c r="J67" s="47">
        <v>93157.460000000021</v>
      </c>
      <c r="K67" s="29">
        <f t="shared" ref="K67:K130" si="4">J67/H67</f>
        <v>0.22000000000000006</v>
      </c>
    </row>
    <row r="68" spans="1:11" s="1" customFormat="1">
      <c r="A68" s="27">
        <v>1067</v>
      </c>
      <c r="B68" s="30">
        <v>45504</v>
      </c>
      <c r="C68" s="28" t="str">
        <f t="shared" si="3"/>
        <v>Jul</v>
      </c>
      <c r="D68" s="27" t="s">
        <v>11</v>
      </c>
      <c r="E68" s="27" t="str">
        <f t="shared" ca="1" si="2"/>
        <v>Ira Rajdev</v>
      </c>
      <c r="F68" s="27" t="s">
        <v>52</v>
      </c>
      <c r="G68" s="27">
        <v>7</v>
      </c>
      <c r="H68" s="47">
        <v>196873</v>
      </c>
      <c r="I68" s="47">
        <v>135842.37</v>
      </c>
      <c r="J68" s="47">
        <v>61030.630000000005</v>
      </c>
      <c r="K68" s="29">
        <f t="shared" si="4"/>
        <v>0.31</v>
      </c>
    </row>
    <row r="69" spans="1:11" s="1" customFormat="1">
      <c r="A69" s="27">
        <v>1068</v>
      </c>
      <c r="B69" s="30">
        <v>45307</v>
      </c>
      <c r="C69" s="28" t="str">
        <f t="shared" si="3"/>
        <v>Jan</v>
      </c>
      <c r="D69" s="27" t="s">
        <v>13</v>
      </c>
      <c r="E69" s="27" t="str">
        <f t="shared" ca="1" si="2"/>
        <v>Ira Rajdev</v>
      </c>
      <c r="F69" s="27" t="s">
        <v>17</v>
      </c>
      <c r="G69" s="27">
        <v>3</v>
      </c>
      <c r="H69" s="47">
        <v>147583</v>
      </c>
      <c r="I69" s="47">
        <v>88549.8</v>
      </c>
      <c r="J69" s="47">
        <v>59033.2</v>
      </c>
      <c r="K69" s="29">
        <f t="shared" si="4"/>
        <v>0.39999999999999997</v>
      </c>
    </row>
    <row r="70" spans="1:11" s="1" customFormat="1">
      <c r="A70" s="27">
        <v>1069</v>
      </c>
      <c r="B70" s="30">
        <v>45446</v>
      </c>
      <c r="C70" s="28" t="str">
        <f t="shared" si="3"/>
        <v>Jun</v>
      </c>
      <c r="D70" s="27" t="s">
        <v>11</v>
      </c>
      <c r="E70" s="27" t="str">
        <f t="shared" ca="1" si="2"/>
        <v>Raj Nair</v>
      </c>
      <c r="F70" s="27" t="s">
        <v>15</v>
      </c>
      <c r="G70" s="27">
        <v>9</v>
      </c>
      <c r="H70" s="47">
        <v>346706</v>
      </c>
      <c r="I70" s="47">
        <v>214957.72</v>
      </c>
      <c r="J70" s="47">
        <v>131748.28</v>
      </c>
      <c r="K70" s="29">
        <f t="shared" si="4"/>
        <v>0.38</v>
      </c>
    </row>
    <row r="71" spans="1:11" s="1" customFormat="1">
      <c r="A71" s="27">
        <v>1070</v>
      </c>
      <c r="B71" s="30">
        <v>45619</v>
      </c>
      <c r="C71" s="28" t="str">
        <f t="shared" si="3"/>
        <v>Nov</v>
      </c>
      <c r="D71" s="27" t="s">
        <v>13</v>
      </c>
      <c r="E71" s="27" t="str">
        <f t="shared" ca="1" si="2"/>
        <v>Shiv Dubey</v>
      </c>
      <c r="F71" s="27" t="s">
        <v>17</v>
      </c>
      <c r="G71" s="27">
        <v>2</v>
      </c>
      <c r="H71" s="47">
        <v>380781</v>
      </c>
      <c r="I71" s="47">
        <v>327471.65999999997</v>
      </c>
      <c r="J71" s="47">
        <v>53309.340000000026</v>
      </c>
      <c r="K71" s="29">
        <f t="shared" si="4"/>
        <v>0.14000000000000007</v>
      </c>
    </row>
    <row r="72" spans="1:11" s="1" customFormat="1">
      <c r="A72" s="27">
        <v>1071</v>
      </c>
      <c r="B72" s="30">
        <v>45599</v>
      </c>
      <c r="C72" s="28" t="str">
        <f t="shared" si="3"/>
        <v>Nov</v>
      </c>
      <c r="D72" s="27" t="s">
        <v>8</v>
      </c>
      <c r="E72" s="27" t="str">
        <f t="shared" ca="1" si="2"/>
        <v>Rajiv Kumar</v>
      </c>
      <c r="F72" s="27" t="s">
        <v>17</v>
      </c>
      <c r="G72" s="27">
        <v>10</v>
      </c>
      <c r="H72" s="47">
        <v>212862</v>
      </c>
      <c r="I72" s="47">
        <v>146874.78</v>
      </c>
      <c r="J72" s="47">
        <v>65987.22</v>
      </c>
      <c r="K72" s="29">
        <f t="shared" si="4"/>
        <v>0.31</v>
      </c>
    </row>
    <row r="73" spans="1:11" s="1" customFormat="1">
      <c r="A73" s="27">
        <v>1072</v>
      </c>
      <c r="B73" s="30">
        <v>45444</v>
      </c>
      <c r="C73" s="28" t="str">
        <f t="shared" si="3"/>
        <v>Jun</v>
      </c>
      <c r="D73" s="27" t="s">
        <v>12</v>
      </c>
      <c r="E73" s="27" t="str">
        <f t="shared" ca="1" si="2"/>
        <v>Raj Nair</v>
      </c>
      <c r="F73" s="27" t="s">
        <v>52</v>
      </c>
      <c r="G73" s="27">
        <v>6</v>
      </c>
      <c r="H73" s="47">
        <v>234497</v>
      </c>
      <c r="I73" s="47">
        <v>201667.42</v>
      </c>
      <c r="J73" s="47">
        <v>32829.579999999987</v>
      </c>
      <c r="K73" s="29">
        <f t="shared" si="4"/>
        <v>0.13999999999999996</v>
      </c>
    </row>
    <row r="74" spans="1:11" s="1" customFormat="1">
      <c r="A74" s="27">
        <v>1073</v>
      </c>
      <c r="B74" s="30">
        <v>45493</v>
      </c>
      <c r="C74" s="28" t="str">
        <f t="shared" si="3"/>
        <v>Jul</v>
      </c>
      <c r="D74" s="27" t="s">
        <v>8</v>
      </c>
      <c r="E74" s="27" t="str">
        <f t="shared" ca="1" si="2"/>
        <v>Aaradhya Singh</v>
      </c>
      <c r="F74" s="27" t="s">
        <v>52</v>
      </c>
      <c r="G74" s="27">
        <v>6</v>
      </c>
      <c r="H74" s="47">
        <v>485768</v>
      </c>
      <c r="I74" s="47">
        <v>354610.64</v>
      </c>
      <c r="J74" s="47">
        <v>131157.35999999999</v>
      </c>
      <c r="K74" s="29">
        <f t="shared" si="4"/>
        <v>0.26999999999999996</v>
      </c>
    </row>
    <row r="75" spans="1:11" s="1" customFormat="1">
      <c r="A75" s="27">
        <v>1074</v>
      </c>
      <c r="B75" s="30">
        <v>45325</v>
      </c>
      <c r="C75" s="28" t="str">
        <f t="shared" si="3"/>
        <v>Feb</v>
      </c>
      <c r="D75" s="27" t="s">
        <v>12</v>
      </c>
      <c r="E75" s="27" t="str">
        <f t="shared" ref="E75:E138" ca="1" si="5">INDEX($E$2:$E$9,RANDBETWEEN(1,8))</f>
        <v>Ira Rajdev</v>
      </c>
      <c r="F75" s="27" t="s">
        <v>17</v>
      </c>
      <c r="G75" s="27">
        <v>6</v>
      </c>
      <c r="H75" s="47">
        <v>389667</v>
      </c>
      <c r="I75" s="47">
        <v>339010.29</v>
      </c>
      <c r="J75" s="47">
        <v>50656.710000000021</v>
      </c>
      <c r="K75" s="29">
        <f t="shared" si="4"/>
        <v>0.13000000000000006</v>
      </c>
    </row>
    <row r="76" spans="1:11" s="1" customFormat="1">
      <c r="A76" s="27">
        <v>1075</v>
      </c>
      <c r="B76" s="30">
        <v>45571</v>
      </c>
      <c r="C76" s="28" t="str">
        <f t="shared" si="3"/>
        <v>Oct</v>
      </c>
      <c r="D76" s="27" t="s">
        <v>8</v>
      </c>
      <c r="E76" s="27" t="str">
        <f t="shared" ca="1" si="5"/>
        <v>Amit Singh</v>
      </c>
      <c r="F76" s="27" t="s">
        <v>10</v>
      </c>
      <c r="G76" s="27">
        <v>8</v>
      </c>
      <c r="H76" s="47">
        <v>163174</v>
      </c>
      <c r="I76" s="47">
        <v>135434.42000000001</v>
      </c>
      <c r="J76" s="47">
        <v>27739.579999999987</v>
      </c>
      <c r="K76" s="29">
        <f t="shared" si="4"/>
        <v>0.16999999999999993</v>
      </c>
    </row>
    <row r="77" spans="1:11" s="1" customFormat="1">
      <c r="A77" s="27">
        <v>1076</v>
      </c>
      <c r="B77" s="30">
        <v>45613</v>
      </c>
      <c r="C77" s="28" t="str">
        <f t="shared" si="3"/>
        <v>Nov</v>
      </c>
      <c r="D77" s="27" t="s">
        <v>11</v>
      </c>
      <c r="E77" s="27" t="str">
        <f t="shared" ca="1" si="5"/>
        <v>Aashish Solankhi</v>
      </c>
      <c r="F77" s="27" t="s">
        <v>16</v>
      </c>
      <c r="G77" s="27">
        <v>10</v>
      </c>
      <c r="H77" s="47">
        <v>243010</v>
      </c>
      <c r="I77" s="47">
        <v>145806</v>
      </c>
      <c r="J77" s="47">
        <v>97204</v>
      </c>
      <c r="K77" s="29">
        <f t="shared" si="4"/>
        <v>0.4</v>
      </c>
    </row>
    <row r="78" spans="1:11" s="1" customFormat="1">
      <c r="A78" s="27">
        <v>1077</v>
      </c>
      <c r="B78" s="30">
        <v>45462</v>
      </c>
      <c r="C78" s="28" t="str">
        <f t="shared" si="3"/>
        <v>Jun</v>
      </c>
      <c r="D78" s="27" t="s">
        <v>12</v>
      </c>
      <c r="E78" s="27" t="str">
        <f t="shared" ca="1" si="5"/>
        <v>Amit Singh</v>
      </c>
      <c r="F78" s="27" t="s">
        <v>52</v>
      </c>
      <c r="G78" s="27">
        <v>4</v>
      </c>
      <c r="H78" s="47">
        <v>341526</v>
      </c>
      <c r="I78" s="47">
        <v>242483.46</v>
      </c>
      <c r="J78" s="47">
        <v>99042.540000000008</v>
      </c>
      <c r="K78" s="29">
        <f t="shared" si="4"/>
        <v>0.29000000000000004</v>
      </c>
    </row>
    <row r="79" spans="1:11" s="1" customFormat="1">
      <c r="A79" s="27">
        <v>1078</v>
      </c>
      <c r="B79" s="30">
        <v>45645</v>
      </c>
      <c r="C79" s="28" t="str">
        <f t="shared" si="3"/>
        <v>Dec</v>
      </c>
      <c r="D79" s="27" t="s">
        <v>8</v>
      </c>
      <c r="E79" s="27" t="str">
        <f t="shared" ca="1" si="5"/>
        <v>Rajiv Kumar</v>
      </c>
      <c r="F79" s="27" t="s">
        <v>17</v>
      </c>
      <c r="G79" s="27">
        <v>10</v>
      </c>
      <c r="H79" s="47">
        <v>252504</v>
      </c>
      <c r="I79" s="47">
        <v>181802.88</v>
      </c>
      <c r="J79" s="47">
        <v>70701.119999999995</v>
      </c>
      <c r="K79" s="29">
        <f t="shared" si="4"/>
        <v>0.27999999999999997</v>
      </c>
    </row>
    <row r="80" spans="1:11" s="1" customFormat="1">
      <c r="A80" s="27">
        <v>1079</v>
      </c>
      <c r="B80" s="30">
        <v>45605</v>
      </c>
      <c r="C80" s="28" t="str">
        <f t="shared" si="3"/>
        <v>Nov</v>
      </c>
      <c r="D80" s="27" t="s">
        <v>8</v>
      </c>
      <c r="E80" s="27" t="str">
        <f t="shared" ca="1" si="5"/>
        <v>Amit Singh</v>
      </c>
      <c r="F80" s="27" t="s">
        <v>52</v>
      </c>
      <c r="G80" s="27">
        <v>9</v>
      </c>
      <c r="H80" s="47">
        <v>119359</v>
      </c>
      <c r="I80" s="47">
        <v>106229.51</v>
      </c>
      <c r="J80" s="47">
        <v>13129.490000000005</v>
      </c>
      <c r="K80" s="29">
        <f t="shared" si="4"/>
        <v>0.11000000000000004</v>
      </c>
    </row>
    <row r="81" spans="1:11" s="1" customFormat="1">
      <c r="A81" s="27">
        <v>1080</v>
      </c>
      <c r="B81" s="30">
        <v>45561</v>
      </c>
      <c r="C81" s="28" t="str">
        <f t="shared" si="3"/>
        <v>Sep</v>
      </c>
      <c r="D81" s="27" t="s">
        <v>11</v>
      </c>
      <c r="E81" s="27" t="str">
        <f t="shared" ca="1" si="5"/>
        <v>Amit Singh</v>
      </c>
      <c r="F81" s="27" t="s">
        <v>10</v>
      </c>
      <c r="G81" s="27">
        <v>9</v>
      </c>
      <c r="H81" s="47">
        <v>250064</v>
      </c>
      <c r="I81" s="47">
        <v>222556.96</v>
      </c>
      <c r="J81" s="47">
        <v>27507.040000000008</v>
      </c>
      <c r="K81" s="29">
        <f t="shared" si="4"/>
        <v>0.11000000000000003</v>
      </c>
    </row>
    <row r="82" spans="1:11" s="1" customFormat="1">
      <c r="A82" s="27">
        <v>1081</v>
      </c>
      <c r="B82" s="30">
        <v>45294</v>
      </c>
      <c r="C82" s="28" t="str">
        <f t="shared" si="3"/>
        <v>Jan</v>
      </c>
      <c r="D82" s="27" t="s">
        <v>8</v>
      </c>
      <c r="E82" s="27" t="str">
        <f t="shared" ca="1" si="5"/>
        <v>Rajiv Kumar</v>
      </c>
      <c r="F82" s="27" t="s">
        <v>17</v>
      </c>
      <c r="G82" s="27">
        <v>9</v>
      </c>
      <c r="H82" s="47">
        <v>378160</v>
      </c>
      <c r="I82" s="47">
        <v>234459.2</v>
      </c>
      <c r="J82" s="47">
        <v>143700.79999999999</v>
      </c>
      <c r="K82" s="29">
        <f t="shared" si="4"/>
        <v>0.37999999999999995</v>
      </c>
    </row>
    <row r="83" spans="1:11" s="1" customFormat="1">
      <c r="A83" s="27">
        <v>1082</v>
      </c>
      <c r="B83" s="30">
        <v>45505</v>
      </c>
      <c r="C83" s="28" t="str">
        <f t="shared" si="3"/>
        <v>Aug</v>
      </c>
      <c r="D83" s="27" t="s">
        <v>8</v>
      </c>
      <c r="E83" s="27" t="str">
        <f t="shared" ca="1" si="5"/>
        <v>Aaradhya Singh</v>
      </c>
      <c r="F83" s="27" t="s">
        <v>15</v>
      </c>
      <c r="G83" s="27">
        <v>8</v>
      </c>
      <c r="H83" s="47">
        <v>479049</v>
      </c>
      <c r="I83" s="47">
        <v>354496.26</v>
      </c>
      <c r="J83" s="47">
        <v>124552.73999999999</v>
      </c>
      <c r="K83" s="29">
        <f t="shared" si="4"/>
        <v>0.25999999999999995</v>
      </c>
    </row>
    <row r="84" spans="1:11" s="1" customFormat="1">
      <c r="A84" s="27">
        <v>1083</v>
      </c>
      <c r="B84" s="30">
        <v>45570</v>
      </c>
      <c r="C84" s="28" t="str">
        <f t="shared" si="3"/>
        <v>Oct</v>
      </c>
      <c r="D84" s="27" t="s">
        <v>13</v>
      </c>
      <c r="E84" s="27" t="str">
        <f t="shared" ca="1" si="5"/>
        <v>Aashish Solankhi</v>
      </c>
      <c r="F84" s="27" t="s">
        <v>17</v>
      </c>
      <c r="G84" s="27">
        <v>10</v>
      </c>
      <c r="H84" s="47">
        <v>289821</v>
      </c>
      <c r="I84" s="47">
        <v>179689.02</v>
      </c>
      <c r="J84" s="47">
        <v>110131.98000000001</v>
      </c>
      <c r="K84" s="29">
        <f t="shared" si="4"/>
        <v>0.38000000000000006</v>
      </c>
    </row>
    <row r="85" spans="1:11" s="1" customFormat="1">
      <c r="A85" s="27">
        <v>1084</v>
      </c>
      <c r="B85" s="30">
        <v>45405</v>
      </c>
      <c r="C85" s="28" t="str">
        <f t="shared" si="3"/>
        <v>Apr</v>
      </c>
      <c r="D85" s="27" t="s">
        <v>13</v>
      </c>
      <c r="E85" s="27" t="str">
        <f t="shared" ca="1" si="5"/>
        <v>Amit Singh</v>
      </c>
      <c r="F85" s="27" t="s">
        <v>10</v>
      </c>
      <c r="G85" s="27">
        <v>6</v>
      </c>
      <c r="H85" s="47">
        <v>174322</v>
      </c>
      <c r="I85" s="47">
        <v>111566.08</v>
      </c>
      <c r="J85" s="47">
        <v>62755.92</v>
      </c>
      <c r="K85" s="29">
        <f t="shared" si="4"/>
        <v>0.36</v>
      </c>
    </row>
    <row r="86" spans="1:11" s="1" customFormat="1">
      <c r="A86" s="27">
        <v>1085</v>
      </c>
      <c r="B86" s="30">
        <v>45600</v>
      </c>
      <c r="C86" s="28" t="str">
        <f t="shared" si="3"/>
        <v>Nov</v>
      </c>
      <c r="D86" s="27" t="s">
        <v>8</v>
      </c>
      <c r="E86" s="27" t="str">
        <f t="shared" ca="1" si="5"/>
        <v>Aaradhya Singh</v>
      </c>
      <c r="F86" s="27" t="s">
        <v>52</v>
      </c>
      <c r="G86" s="27">
        <v>3</v>
      </c>
      <c r="H86" s="47">
        <v>448682</v>
      </c>
      <c r="I86" s="47">
        <v>340998.32</v>
      </c>
      <c r="J86" s="47">
        <v>107683.68</v>
      </c>
      <c r="K86" s="29">
        <f t="shared" si="4"/>
        <v>0.24</v>
      </c>
    </row>
    <row r="87" spans="1:11" s="1" customFormat="1">
      <c r="A87" s="27">
        <v>1086</v>
      </c>
      <c r="B87" s="30">
        <v>45432</v>
      </c>
      <c r="C87" s="28" t="str">
        <f t="shared" si="3"/>
        <v>May</v>
      </c>
      <c r="D87" s="27" t="s">
        <v>13</v>
      </c>
      <c r="E87" s="27" t="str">
        <f t="shared" ca="1" si="5"/>
        <v>Neha Sharma</v>
      </c>
      <c r="F87" s="27" t="s">
        <v>17</v>
      </c>
      <c r="G87" s="27">
        <v>10</v>
      </c>
      <c r="H87" s="47">
        <v>121712</v>
      </c>
      <c r="I87" s="47">
        <v>103455.2</v>
      </c>
      <c r="J87" s="47">
        <v>18256.800000000003</v>
      </c>
      <c r="K87" s="29">
        <f t="shared" si="4"/>
        <v>0.15000000000000002</v>
      </c>
    </row>
    <row r="88" spans="1:11" s="1" customFormat="1">
      <c r="A88" s="27">
        <v>1087</v>
      </c>
      <c r="B88" s="30">
        <v>45647</v>
      </c>
      <c r="C88" s="28" t="str">
        <f t="shared" si="3"/>
        <v>Dec</v>
      </c>
      <c r="D88" s="27" t="s">
        <v>12</v>
      </c>
      <c r="E88" s="27" t="str">
        <f t="shared" ca="1" si="5"/>
        <v>Raj Nair</v>
      </c>
      <c r="F88" s="27" t="s">
        <v>15</v>
      </c>
      <c r="G88" s="27">
        <v>2</v>
      </c>
      <c r="H88" s="47">
        <v>463743</v>
      </c>
      <c r="I88" s="47">
        <v>347807.25</v>
      </c>
      <c r="J88" s="47">
        <v>115935.75</v>
      </c>
      <c r="K88" s="29">
        <f t="shared" si="4"/>
        <v>0.25</v>
      </c>
    </row>
    <row r="89" spans="1:11" s="1" customFormat="1">
      <c r="A89" s="27">
        <v>1088</v>
      </c>
      <c r="B89" s="30">
        <v>45414</v>
      </c>
      <c r="C89" s="28" t="str">
        <f t="shared" si="3"/>
        <v>May</v>
      </c>
      <c r="D89" s="27" t="s">
        <v>8</v>
      </c>
      <c r="E89" s="27" t="str">
        <f t="shared" ca="1" si="5"/>
        <v>Neha Sharma</v>
      </c>
      <c r="F89" s="27" t="s">
        <v>52</v>
      </c>
      <c r="G89" s="27">
        <v>9</v>
      </c>
      <c r="H89" s="47">
        <v>217507</v>
      </c>
      <c r="I89" s="47">
        <v>147904.76</v>
      </c>
      <c r="J89" s="47">
        <v>69602.239999999991</v>
      </c>
      <c r="K89" s="29">
        <f t="shared" si="4"/>
        <v>0.31999999999999995</v>
      </c>
    </row>
    <row r="90" spans="1:11" s="1" customFormat="1">
      <c r="A90" s="27">
        <v>1089</v>
      </c>
      <c r="B90" s="30">
        <v>45572</v>
      </c>
      <c r="C90" s="28" t="str">
        <f t="shared" si="3"/>
        <v>Oct</v>
      </c>
      <c r="D90" s="27" t="s">
        <v>12</v>
      </c>
      <c r="E90" s="27" t="str">
        <f t="shared" ca="1" si="5"/>
        <v>Aashish Solankhi</v>
      </c>
      <c r="F90" s="27" t="s">
        <v>17</v>
      </c>
      <c r="G90" s="27">
        <v>3</v>
      </c>
      <c r="H90" s="47">
        <v>373100</v>
      </c>
      <c r="I90" s="47">
        <v>264901</v>
      </c>
      <c r="J90" s="47">
        <v>108199</v>
      </c>
      <c r="K90" s="29">
        <f t="shared" si="4"/>
        <v>0.28999999999999998</v>
      </c>
    </row>
    <row r="91" spans="1:11" s="1" customFormat="1">
      <c r="A91" s="27">
        <v>1090</v>
      </c>
      <c r="B91" s="30">
        <v>45598</v>
      </c>
      <c r="C91" s="28" t="str">
        <f t="shared" si="3"/>
        <v>Nov</v>
      </c>
      <c r="D91" s="27" t="s">
        <v>13</v>
      </c>
      <c r="E91" s="27" t="str">
        <f t="shared" ca="1" si="5"/>
        <v>Amit Singh</v>
      </c>
      <c r="F91" s="27" t="s">
        <v>10</v>
      </c>
      <c r="G91" s="27">
        <v>6</v>
      </c>
      <c r="H91" s="47">
        <v>293192</v>
      </c>
      <c r="I91" s="47">
        <v>214030.16</v>
      </c>
      <c r="J91" s="47">
        <v>79161.84</v>
      </c>
      <c r="K91" s="29">
        <f t="shared" si="4"/>
        <v>0.26999999999999996</v>
      </c>
    </row>
    <row r="92" spans="1:11" s="1" customFormat="1">
      <c r="A92" s="27">
        <v>1091</v>
      </c>
      <c r="B92" s="30">
        <v>45421</v>
      </c>
      <c r="C92" s="28" t="str">
        <f t="shared" si="3"/>
        <v>May</v>
      </c>
      <c r="D92" s="27" t="s">
        <v>12</v>
      </c>
      <c r="E92" s="27" t="str">
        <f t="shared" ca="1" si="5"/>
        <v>Neha Sharma</v>
      </c>
      <c r="F92" s="27" t="s">
        <v>15</v>
      </c>
      <c r="G92" s="27">
        <v>6</v>
      </c>
      <c r="H92" s="47">
        <v>206547</v>
      </c>
      <c r="I92" s="47">
        <v>165237.6</v>
      </c>
      <c r="J92" s="47">
        <v>41309.399999999994</v>
      </c>
      <c r="K92" s="29">
        <f t="shared" si="4"/>
        <v>0.19999999999999998</v>
      </c>
    </row>
    <row r="93" spans="1:11" s="1" customFormat="1">
      <c r="A93" s="27">
        <v>1092</v>
      </c>
      <c r="B93" s="30">
        <v>45295</v>
      </c>
      <c r="C93" s="28" t="str">
        <f t="shared" si="3"/>
        <v>Jan</v>
      </c>
      <c r="D93" s="27" t="s">
        <v>12</v>
      </c>
      <c r="E93" s="27" t="str">
        <f t="shared" ca="1" si="5"/>
        <v>Ira Rajdev</v>
      </c>
      <c r="F93" s="27" t="s">
        <v>16</v>
      </c>
      <c r="G93" s="27">
        <v>8</v>
      </c>
      <c r="H93" s="47">
        <v>250507</v>
      </c>
      <c r="I93" s="47">
        <v>197900.53</v>
      </c>
      <c r="J93" s="47">
        <v>52606.47</v>
      </c>
      <c r="K93" s="29">
        <f t="shared" si="4"/>
        <v>0.21</v>
      </c>
    </row>
    <row r="94" spans="1:11" s="1" customFormat="1">
      <c r="A94" s="27">
        <v>1093</v>
      </c>
      <c r="B94" s="30">
        <v>45305</v>
      </c>
      <c r="C94" s="28" t="str">
        <f t="shared" si="3"/>
        <v>Jan</v>
      </c>
      <c r="D94" s="27" t="s">
        <v>12</v>
      </c>
      <c r="E94" s="27" t="str">
        <f t="shared" ca="1" si="5"/>
        <v>Rajiv Kumar</v>
      </c>
      <c r="F94" s="27" t="s">
        <v>52</v>
      </c>
      <c r="G94" s="27">
        <v>3</v>
      </c>
      <c r="H94" s="47">
        <v>130533</v>
      </c>
      <c r="I94" s="47">
        <v>113563.71</v>
      </c>
      <c r="J94" s="47">
        <v>16969.289999999994</v>
      </c>
      <c r="K94" s="29">
        <f t="shared" si="4"/>
        <v>0.12999999999999995</v>
      </c>
    </row>
    <row r="95" spans="1:11" s="1" customFormat="1">
      <c r="A95" s="27">
        <v>1094</v>
      </c>
      <c r="B95" s="30">
        <v>45565</v>
      </c>
      <c r="C95" s="28" t="str">
        <f t="shared" si="3"/>
        <v>Sep</v>
      </c>
      <c r="D95" s="27" t="s">
        <v>8</v>
      </c>
      <c r="E95" s="27" t="str">
        <f t="shared" ca="1" si="5"/>
        <v>Raj Nair</v>
      </c>
      <c r="F95" s="27" t="s">
        <v>10</v>
      </c>
      <c r="G95" s="27">
        <v>7</v>
      </c>
      <c r="H95" s="47">
        <v>386308</v>
      </c>
      <c r="I95" s="47">
        <v>262689.44</v>
      </c>
      <c r="J95" s="47">
        <v>123618.56</v>
      </c>
      <c r="K95" s="29">
        <f t="shared" si="4"/>
        <v>0.32</v>
      </c>
    </row>
    <row r="96" spans="1:11" s="1" customFormat="1">
      <c r="A96" s="27">
        <v>1095</v>
      </c>
      <c r="B96" s="30">
        <v>45618</v>
      </c>
      <c r="C96" s="28" t="str">
        <f t="shared" si="3"/>
        <v>Nov</v>
      </c>
      <c r="D96" s="27" t="s">
        <v>13</v>
      </c>
      <c r="E96" s="27" t="str">
        <f t="shared" ca="1" si="5"/>
        <v>Ira Rajdev</v>
      </c>
      <c r="F96" s="27" t="s">
        <v>17</v>
      </c>
      <c r="G96" s="27">
        <v>2</v>
      </c>
      <c r="H96" s="47">
        <v>291287</v>
      </c>
      <c r="I96" s="47">
        <v>177685.07</v>
      </c>
      <c r="J96" s="47">
        <v>113601.93</v>
      </c>
      <c r="K96" s="29">
        <f t="shared" si="4"/>
        <v>0.38999999999999996</v>
      </c>
    </row>
    <row r="97" spans="1:11" s="1" customFormat="1">
      <c r="A97" s="27">
        <v>1096</v>
      </c>
      <c r="B97" s="30">
        <v>45565</v>
      </c>
      <c r="C97" s="28" t="str">
        <f t="shared" si="3"/>
        <v>Sep</v>
      </c>
      <c r="D97" s="27" t="s">
        <v>11</v>
      </c>
      <c r="E97" s="27" t="str">
        <f t="shared" ca="1" si="5"/>
        <v>Aaradhya Singh</v>
      </c>
      <c r="F97" s="27" t="s">
        <v>15</v>
      </c>
      <c r="G97" s="27">
        <v>7</v>
      </c>
      <c r="H97" s="47">
        <v>478929</v>
      </c>
      <c r="I97" s="47">
        <v>330461.01</v>
      </c>
      <c r="J97" s="47">
        <v>148467.99</v>
      </c>
      <c r="K97" s="29">
        <f t="shared" si="4"/>
        <v>0.31</v>
      </c>
    </row>
    <row r="98" spans="1:11" s="1" customFormat="1">
      <c r="A98" s="27">
        <v>1097</v>
      </c>
      <c r="B98" s="30">
        <v>45473</v>
      </c>
      <c r="C98" s="28" t="str">
        <f t="shared" si="3"/>
        <v>Jun</v>
      </c>
      <c r="D98" s="27" t="s">
        <v>11</v>
      </c>
      <c r="E98" s="27" t="str">
        <f t="shared" ca="1" si="5"/>
        <v>Rajiv Kumar</v>
      </c>
      <c r="F98" s="27" t="s">
        <v>17</v>
      </c>
      <c r="G98" s="27">
        <v>7</v>
      </c>
      <c r="H98" s="47">
        <v>499316</v>
      </c>
      <c r="I98" s="47">
        <v>299589.59999999998</v>
      </c>
      <c r="J98" s="47">
        <v>199726.40000000002</v>
      </c>
      <c r="K98" s="29">
        <f t="shared" si="4"/>
        <v>0.4</v>
      </c>
    </row>
    <row r="99" spans="1:11" s="1" customFormat="1">
      <c r="A99" s="27">
        <v>1098</v>
      </c>
      <c r="B99" s="30">
        <v>45387</v>
      </c>
      <c r="C99" s="28" t="str">
        <f t="shared" si="3"/>
        <v>Apr</v>
      </c>
      <c r="D99" s="27" t="s">
        <v>11</v>
      </c>
      <c r="E99" s="27" t="str">
        <f t="shared" ca="1" si="5"/>
        <v>Aaradhya Singh</v>
      </c>
      <c r="F99" s="27" t="s">
        <v>52</v>
      </c>
      <c r="G99" s="27">
        <v>9</v>
      </c>
      <c r="H99" s="47">
        <v>179604</v>
      </c>
      <c r="I99" s="47">
        <v>109558.44</v>
      </c>
      <c r="J99" s="47">
        <v>70045.56</v>
      </c>
      <c r="K99" s="29">
        <f t="shared" si="4"/>
        <v>0.39</v>
      </c>
    </row>
    <row r="100" spans="1:11" s="1" customFormat="1">
      <c r="A100" s="27">
        <v>1099</v>
      </c>
      <c r="B100" s="30">
        <v>45570</v>
      </c>
      <c r="C100" s="28" t="str">
        <f t="shared" si="3"/>
        <v>Oct</v>
      </c>
      <c r="D100" s="27" t="s">
        <v>12</v>
      </c>
      <c r="E100" s="27" t="str">
        <f t="shared" ca="1" si="5"/>
        <v>Shiv Dubey</v>
      </c>
      <c r="F100" s="27" t="s">
        <v>10</v>
      </c>
      <c r="G100" s="27">
        <v>3</v>
      </c>
      <c r="H100" s="47">
        <v>245265</v>
      </c>
      <c r="I100" s="47">
        <v>179043.45</v>
      </c>
      <c r="J100" s="47">
        <v>66221.549999999988</v>
      </c>
      <c r="K100" s="29">
        <f t="shared" si="4"/>
        <v>0.26999999999999996</v>
      </c>
    </row>
    <row r="101" spans="1:11" s="1" customFormat="1">
      <c r="A101" s="27">
        <v>1100</v>
      </c>
      <c r="B101" s="30">
        <v>45493</v>
      </c>
      <c r="C101" s="28" t="str">
        <f t="shared" si="3"/>
        <v>Jul</v>
      </c>
      <c r="D101" s="27" t="s">
        <v>11</v>
      </c>
      <c r="E101" s="27" t="str">
        <f t="shared" ca="1" si="5"/>
        <v>Neha Sharma</v>
      </c>
      <c r="F101" s="27" t="s">
        <v>16</v>
      </c>
      <c r="G101" s="27">
        <v>9</v>
      </c>
      <c r="H101" s="47">
        <v>446839</v>
      </c>
      <c r="I101" s="47">
        <v>353002.81</v>
      </c>
      <c r="J101" s="47">
        <v>93836.19</v>
      </c>
      <c r="K101" s="29">
        <f t="shared" si="4"/>
        <v>0.21</v>
      </c>
    </row>
    <row r="102" spans="1:11" s="1" customFormat="1">
      <c r="A102" s="27">
        <v>1101</v>
      </c>
      <c r="B102" s="30">
        <v>45526</v>
      </c>
      <c r="C102" s="28" t="str">
        <f t="shared" si="3"/>
        <v>Aug</v>
      </c>
      <c r="D102" s="27" t="s">
        <v>13</v>
      </c>
      <c r="E102" s="27" t="str">
        <f t="shared" ca="1" si="5"/>
        <v>Shiv Dubey</v>
      </c>
      <c r="F102" s="27" t="s">
        <v>17</v>
      </c>
      <c r="G102" s="27">
        <v>5</v>
      </c>
      <c r="H102" s="47">
        <v>121201</v>
      </c>
      <c r="I102" s="47">
        <v>82416.679999999993</v>
      </c>
      <c r="J102" s="47">
        <v>38784.320000000007</v>
      </c>
      <c r="K102" s="29">
        <f t="shared" si="4"/>
        <v>0.32000000000000006</v>
      </c>
    </row>
    <row r="103" spans="1:11" s="1" customFormat="1">
      <c r="A103" s="27">
        <v>1102</v>
      </c>
      <c r="B103" s="30">
        <v>45612</v>
      </c>
      <c r="C103" s="28" t="str">
        <f t="shared" si="3"/>
        <v>Nov</v>
      </c>
      <c r="D103" s="27" t="s">
        <v>11</v>
      </c>
      <c r="E103" s="27" t="str">
        <f t="shared" ca="1" si="5"/>
        <v>Ira Rajdev</v>
      </c>
      <c r="F103" s="27" t="s">
        <v>17</v>
      </c>
      <c r="G103" s="27">
        <v>8</v>
      </c>
      <c r="H103" s="47">
        <v>280375</v>
      </c>
      <c r="I103" s="47">
        <v>235515</v>
      </c>
      <c r="J103" s="47">
        <v>44860</v>
      </c>
      <c r="K103" s="29">
        <f t="shared" si="4"/>
        <v>0.16</v>
      </c>
    </row>
    <row r="104" spans="1:11" s="1" customFormat="1">
      <c r="A104" s="27">
        <v>1103</v>
      </c>
      <c r="B104" s="30">
        <v>45359</v>
      </c>
      <c r="C104" s="28" t="str">
        <f t="shared" si="3"/>
        <v>Mar</v>
      </c>
      <c r="D104" s="27" t="s">
        <v>13</v>
      </c>
      <c r="E104" s="27" t="str">
        <f t="shared" ca="1" si="5"/>
        <v>Raj Nair</v>
      </c>
      <c r="F104" s="27" t="s">
        <v>10</v>
      </c>
      <c r="G104" s="27">
        <v>7</v>
      </c>
      <c r="H104" s="47">
        <v>153606</v>
      </c>
      <c r="I104" s="47">
        <v>124420.86</v>
      </c>
      <c r="J104" s="47">
        <v>29185.14</v>
      </c>
      <c r="K104" s="29">
        <f t="shared" si="4"/>
        <v>0.19</v>
      </c>
    </row>
    <row r="105" spans="1:11" s="1" customFormat="1">
      <c r="A105" s="27">
        <v>1104</v>
      </c>
      <c r="B105" s="30">
        <v>45548</v>
      </c>
      <c r="C105" s="28" t="str">
        <f t="shared" si="3"/>
        <v>Sep</v>
      </c>
      <c r="D105" s="27" t="s">
        <v>8</v>
      </c>
      <c r="E105" s="27" t="str">
        <f t="shared" ca="1" si="5"/>
        <v>Shiv Dubey</v>
      </c>
      <c r="F105" s="27" t="s">
        <v>16</v>
      </c>
      <c r="G105" s="27">
        <v>7</v>
      </c>
      <c r="H105" s="47">
        <v>267405</v>
      </c>
      <c r="I105" s="47">
        <v>237990.45</v>
      </c>
      <c r="J105" s="47">
        <v>29414.549999999988</v>
      </c>
      <c r="K105" s="29">
        <f t="shared" si="4"/>
        <v>0.10999999999999996</v>
      </c>
    </row>
    <row r="106" spans="1:11" s="1" customFormat="1">
      <c r="A106" s="27">
        <v>1105</v>
      </c>
      <c r="B106" s="30">
        <v>45409</v>
      </c>
      <c r="C106" s="28" t="str">
        <f t="shared" si="3"/>
        <v>Apr</v>
      </c>
      <c r="D106" s="27" t="s">
        <v>13</v>
      </c>
      <c r="E106" s="27" t="str">
        <f t="shared" ca="1" si="5"/>
        <v>Raj Nair</v>
      </c>
      <c r="F106" s="27" t="s">
        <v>52</v>
      </c>
      <c r="G106" s="27">
        <v>9</v>
      </c>
      <c r="H106" s="47">
        <v>473888</v>
      </c>
      <c r="I106" s="47">
        <v>374371.52</v>
      </c>
      <c r="J106" s="47">
        <v>99516.479999999981</v>
      </c>
      <c r="K106" s="29">
        <f t="shared" si="4"/>
        <v>0.20999999999999996</v>
      </c>
    </row>
    <row r="107" spans="1:11" s="1" customFormat="1">
      <c r="A107" s="27">
        <v>1106</v>
      </c>
      <c r="B107" s="30">
        <v>45391</v>
      </c>
      <c r="C107" s="28" t="str">
        <f t="shared" si="3"/>
        <v>Apr</v>
      </c>
      <c r="D107" s="27" t="s">
        <v>12</v>
      </c>
      <c r="E107" s="27" t="str">
        <f t="shared" ca="1" si="5"/>
        <v>Aashish Solankhi</v>
      </c>
      <c r="F107" s="27" t="s">
        <v>17</v>
      </c>
      <c r="G107" s="27">
        <v>4</v>
      </c>
      <c r="H107" s="47">
        <v>188840</v>
      </c>
      <c r="I107" s="47">
        <v>137853.20000000001</v>
      </c>
      <c r="J107" s="47">
        <v>50986.799999999988</v>
      </c>
      <c r="K107" s="29">
        <f t="shared" si="4"/>
        <v>0.26999999999999996</v>
      </c>
    </row>
    <row r="108" spans="1:11" s="1" customFormat="1">
      <c r="A108" s="27">
        <v>1107</v>
      </c>
      <c r="B108" s="30">
        <v>45369</v>
      </c>
      <c r="C108" s="28" t="str">
        <f t="shared" si="3"/>
        <v>Mar</v>
      </c>
      <c r="D108" s="27" t="s">
        <v>8</v>
      </c>
      <c r="E108" s="27" t="str">
        <f t="shared" ca="1" si="5"/>
        <v>Raj Nair</v>
      </c>
      <c r="F108" s="27" t="s">
        <v>52</v>
      </c>
      <c r="G108" s="27">
        <v>6</v>
      </c>
      <c r="H108" s="47">
        <v>440002</v>
      </c>
      <c r="I108" s="47">
        <v>264001.2</v>
      </c>
      <c r="J108" s="47">
        <v>176000.8</v>
      </c>
      <c r="K108" s="29">
        <f t="shared" si="4"/>
        <v>0.39999999999999997</v>
      </c>
    </row>
    <row r="109" spans="1:11" s="1" customFormat="1">
      <c r="A109" s="27">
        <v>1108</v>
      </c>
      <c r="B109" s="30">
        <v>45655</v>
      </c>
      <c r="C109" s="28" t="str">
        <f t="shared" si="3"/>
        <v>Dec</v>
      </c>
      <c r="D109" s="27" t="s">
        <v>11</v>
      </c>
      <c r="E109" s="27" t="str">
        <f t="shared" ca="1" si="5"/>
        <v>Raj Nair</v>
      </c>
      <c r="F109" s="27" t="s">
        <v>15</v>
      </c>
      <c r="G109" s="27">
        <v>5</v>
      </c>
      <c r="H109" s="47">
        <v>253921</v>
      </c>
      <c r="I109" s="47">
        <v>228528.9</v>
      </c>
      <c r="J109" s="47">
        <v>25392.100000000006</v>
      </c>
      <c r="K109" s="29">
        <f t="shared" si="4"/>
        <v>0.10000000000000002</v>
      </c>
    </row>
    <row r="110" spans="1:11" s="1" customFormat="1">
      <c r="A110" s="27">
        <v>1109</v>
      </c>
      <c r="B110" s="30">
        <v>45554</v>
      </c>
      <c r="C110" s="28" t="str">
        <f t="shared" si="3"/>
        <v>Sep</v>
      </c>
      <c r="D110" s="27" t="s">
        <v>11</v>
      </c>
      <c r="E110" s="27" t="str">
        <f t="shared" ca="1" si="5"/>
        <v>Raj Nair</v>
      </c>
      <c r="F110" s="27" t="s">
        <v>16</v>
      </c>
      <c r="G110" s="27">
        <v>7</v>
      </c>
      <c r="H110" s="47">
        <v>194721</v>
      </c>
      <c r="I110" s="47">
        <v>161618.43</v>
      </c>
      <c r="J110" s="47">
        <v>33102.570000000007</v>
      </c>
      <c r="K110" s="29">
        <f t="shared" si="4"/>
        <v>0.17000000000000004</v>
      </c>
    </row>
    <row r="111" spans="1:11" s="1" customFormat="1">
      <c r="A111" s="27">
        <v>1110</v>
      </c>
      <c r="B111" s="30">
        <v>45621</v>
      </c>
      <c r="C111" s="28" t="str">
        <f t="shared" si="3"/>
        <v>Nov</v>
      </c>
      <c r="D111" s="27" t="s">
        <v>11</v>
      </c>
      <c r="E111" s="27" t="str">
        <f t="shared" ca="1" si="5"/>
        <v>Neha Sharma</v>
      </c>
      <c r="F111" s="27" t="s">
        <v>16</v>
      </c>
      <c r="G111" s="27">
        <v>10</v>
      </c>
      <c r="H111" s="47">
        <v>359217</v>
      </c>
      <c r="I111" s="47">
        <v>316110.96000000002</v>
      </c>
      <c r="J111" s="47">
        <v>43106.039999999979</v>
      </c>
      <c r="K111" s="29">
        <f t="shared" si="4"/>
        <v>0.11999999999999994</v>
      </c>
    </row>
    <row r="112" spans="1:11" s="1" customFormat="1">
      <c r="A112" s="27">
        <v>1111</v>
      </c>
      <c r="B112" s="30">
        <v>45306</v>
      </c>
      <c r="C112" s="28" t="str">
        <f t="shared" si="3"/>
        <v>Jan</v>
      </c>
      <c r="D112" s="27" t="s">
        <v>8</v>
      </c>
      <c r="E112" s="27" t="str">
        <f t="shared" ca="1" si="5"/>
        <v>Amit Singh</v>
      </c>
      <c r="F112" s="27" t="s">
        <v>52</v>
      </c>
      <c r="G112" s="27">
        <v>10</v>
      </c>
      <c r="H112" s="47">
        <v>288290</v>
      </c>
      <c r="I112" s="47">
        <v>204685.9</v>
      </c>
      <c r="J112" s="47">
        <v>83604.100000000006</v>
      </c>
      <c r="K112" s="29">
        <f t="shared" si="4"/>
        <v>0.29000000000000004</v>
      </c>
    </row>
    <row r="113" spans="1:11" s="1" customFormat="1">
      <c r="A113" s="27">
        <v>1112</v>
      </c>
      <c r="B113" s="30">
        <v>45501</v>
      </c>
      <c r="C113" s="28" t="str">
        <f t="shared" si="3"/>
        <v>Jul</v>
      </c>
      <c r="D113" s="27" t="s">
        <v>11</v>
      </c>
      <c r="E113" s="27" t="str">
        <f t="shared" ca="1" si="5"/>
        <v>Neha Sharma</v>
      </c>
      <c r="F113" s="27" t="s">
        <v>16</v>
      </c>
      <c r="G113" s="27">
        <v>9</v>
      </c>
      <c r="H113" s="47">
        <v>413485</v>
      </c>
      <c r="I113" s="47">
        <v>351462.25</v>
      </c>
      <c r="J113" s="47">
        <v>62022.75</v>
      </c>
      <c r="K113" s="29">
        <f t="shared" si="4"/>
        <v>0.15</v>
      </c>
    </row>
    <row r="114" spans="1:11" s="1" customFormat="1">
      <c r="A114" s="27">
        <v>1113</v>
      </c>
      <c r="B114" s="30">
        <v>45385</v>
      </c>
      <c r="C114" s="28" t="str">
        <f t="shared" si="3"/>
        <v>Apr</v>
      </c>
      <c r="D114" s="27" t="s">
        <v>8</v>
      </c>
      <c r="E114" s="27" t="str">
        <f t="shared" ca="1" si="5"/>
        <v>Ira Rajdev</v>
      </c>
      <c r="F114" s="27" t="s">
        <v>52</v>
      </c>
      <c r="G114" s="27">
        <v>6</v>
      </c>
      <c r="H114" s="47">
        <v>182267</v>
      </c>
      <c r="I114" s="47">
        <v>129409.57</v>
      </c>
      <c r="J114" s="47">
        <v>52857.429999999993</v>
      </c>
      <c r="K114" s="29">
        <f t="shared" si="4"/>
        <v>0.28999999999999998</v>
      </c>
    </row>
    <row r="115" spans="1:11" s="1" customFormat="1">
      <c r="A115" s="27">
        <v>1114</v>
      </c>
      <c r="B115" s="30">
        <v>45471</v>
      </c>
      <c r="C115" s="28" t="str">
        <f t="shared" si="3"/>
        <v>Jun</v>
      </c>
      <c r="D115" s="27" t="s">
        <v>8</v>
      </c>
      <c r="E115" s="27" t="str">
        <f t="shared" ca="1" si="5"/>
        <v>Rajiv Kumar</v>
      </c>
      <c r="F115" s="27" t="s">
        <v>17</v>
      </c>
      <c r="G115" s="27">
        <v>1</v>
      </c>
      <c r="H115" s="47">
        <v>192979</v>
      </c>
      <c r="I115" s="47">
        <v>144734.25</v>
      </c>
      <c r="J115" s="47">
        <v>48244.75</v>
      </c>
      <c r="K115" s="29">
        <f t="shared" si="4"/>
        <v>0.25</v>
      </c>
    </row>
    <row r="116" spans="1:11" s="1" customFormat="1">
      <c r="A116" s="27">
        <v>1115</v>
      </c>
      <c r="B116" s="30">
        <v>45308</v>
      </c>
      <c r="C116" s="28" t="str">
        <f t="shared" si="3"/>
        <v>Jan</v>
      </c>
      <c r="D116" s="27" t="s">
        <v>13</v>
      </c>
      <c r="E116" s="27" t="str">
        <f t="shared" ca="1" si="5"/>
        <v>Shiv Dubey</v>
      </c>
      <c r="F116" s="27" t="s">
        <v>10</v>
      </c>
      <c r="G116" s="27">
        <v>8</v>
      </c>
      <c r="H116" s="47">
        <v>100537</v>
      </c>
      <c r="I116" s="47">
        <v>80429.600000000006</v>
      </c>
      <c r="J116" s="47">
        <v>20107.399999999994</v>
      </c>
      <c r="K116" s="29">
        <f t="shared" si="4"/>
        <v>0.19999999999999996</v>
      </c>
    </row>
    <row r="117" spans="1:11" s="1" customFormat="1">
      <c r="A117" s="27">
        <v>1116</v>
      </c>
      <c r="B117" s="30">
        <v>45472</v>
      </c>
      <c r="C117" s="28" t="str">
        <f t="shared" si="3"/>
        <v>Jun</v>
      </c>
      <c r="D117" s="27" t="s">
        <v>8</v>
      </c>
      <c r="E117" s="27" t="str">
        <f t="shared" ca="1" si="5"/>
        <v>Neha Sharma</v>
      </c>
      <c r="F117" s="27" t="s">
        <v>16</v>
      </c>
      <c r="G117" s="27">
        <v>3</v>
      </c>
      <c r="H117" s="47">
        <v>176012</v>
      </c>
      <c r="I117" s="47">
        <v>109127.44</v>
      </c>
      <c r="J117" s="47">
        <v>66884.56</v>
      </c>
      <c r="K117" s="29">
        <f t="shared" si="4"/>
        <v>0.38</v>
      </c>
    </row>
    <row r="118" spans="1:11" s="1" customFormat="1">
      <c r="A118" s="27">
        <v>1117</v>
      </c>
      <c r="B118" s="30">
        <v>45330</v>
      </c>
      <c r="C118" s="28" t="str">
        <f t="shared" si="3"/>
        <v>Feb</v>
      </c>
      <c r="D118" s="27" t="s">
        <v>11</v>
      </c>
      <c r="E118" s="27" t="str">
        <f t="shared" ca="1" si="5"/>
        <v>Aashish Solankhi</v>
      </c>
      <c r="F118" s="27" t="s">
        <v>52</v>
      </c>
      <c r="G118" s="27">
        <v>7</v>
      </c>
      <c r="H118" s="47">
        <v>417432</v>
      </c>
      <c r="I118" s="47">
        <v>283853.76</v>
      </c>
      <c r="J118" s="47">
        <v>133578.23999999999</v>
      </c>
      <c r="K118" s="29">
        <f t="shared" si="4"/>
        <v>0.31999999999999995</v>
      </c>
    </row>
    <row r="119" spans="1:11" s="1" customFormat="1">
      <c r="A119" s="27">
        <v>1118</v>
      </c>
      <c r="B119" s="30">
        <v>45387</v>
      </c>
      <c r="C119" s="28" t="str">
        <f t="shared" si="3"/>
        <v>Apr</v>
      </c>
      <c r="D119" s="27" t="s">
        <v>8</v>
      </c>
      <c r="E119" s="27" t="str">
        <f t="shared" ca="1" si="5"/>
        <v>Amit Singh</v>
      </c>
      <c r="F119" s="27" t="s">
        <v>17</v>
      </c>
      <c r="G119" s="27">
        <v>6</v>
      </c>
      <c r="H119" s="47">
        <v>409196</v>
      </c>
      <c r="I119" s="47">
        <v>335540.71999999997</v>
      </c>
      <c r="J119" s="47">
        <v>73655.280000000028</v>
      </c>
      <c r="K119" s="29">
        <f t="shared" si="4"/>
        <v>0.18000000000000008</v>
      </c>
    </row>
    <row r="120" spans="1:11" s="1" customFormat="1">
      <c r="A120" s="27">
        <v>1119</v>
      </c>
      <c r="B120" s="30">
        <v>45579</v>
      </c>
      <c r="C120" s="28" t="str">
        <f t="shared" si="3"/>
        <v>Oct</v>
      </c>
      <c r="D120" s="27" t="s">
        <v>12</v>
      </c>
      <c r="E120" s="27" t="str">
        <f t="shared" ca="1" si="5"/>
        <v>Raj Nair</v>
      </c>
      <c r="F120" s="27" t="s">
        <v>17</v>
      </c>
      <c r="G120" s="27">
        <v>7</v>
      </c>
      <c r="H120" s="47">
        <v>349002</v>
      </c>
      <c r="I120" s="47">
        <v>307121.76</v>
      </c>
      <c r="J120" s="47">
        <v>41880.239999999991</v>
      </c>
      <c r="K120" s="29">
        <f t="shared" si="4"/>
        <v>0.11999999999999997</v>
      </c>
    </row>
    <row r="121" spans="1:11" s="1" customFormat="1">
      <c r="A121" s="27">
        <v>1120</v>
      </c>
      <c r="B121" s="30">
        <v>45339</v>
      </c>
      <c r="C121" s="28" t="str">
        <f t="shared" si="3"/>
        <v>Feb</v>
      </c>
      <c r="D121" s="27" t="s">
        <v>12</v>
      </c>
      <c r="E121" s="27" t="str">
        <f t="shared" ca="1" si="5"/>
        <v>Shiv Dubey</v>
      </c>
      <c r="F121" s="27" t="s">
        <v>15</v>
      </c>
      <c r="G121" s="27">
        <v>8</v>
      </c>
      <c r="H121" s="47">
        <v>139295</v>
      </c>
      <c r="I121" s="47">
        <v>118400.75</v>
      </c>
      <c r="J121" s="47">
        <v>20894.25</v>
      </c>
      <c r="K121" s="29">
        <f t="shared" si="4"/>
        <v>0.15</v>
      </c>
    </row>
    <row r="122" spans="1:11" s="1" customFormat="1">
      <c r="A122" s="27">
        <v>1121</v>
      </c>
      <c r="B122" s="30">
        <v>45618</v>
      </c>
      <c r="C122" s="28" t="str">
        <f t="shared" si="3"/>
        <v>Nov</v>
      </c>
      <c r="D122" s="27" t="s">
        <v>13</v>
      </c>
      <c r="E122" s="27" t="str">
        <f t="shared" ca="1" si="5"/>
        <v>Aashish Solankhi</v>
      </c>
      <c r="F122" s="27" t="s">
        <v>16</v>
      </c>
      <c r="G122" s="27">
        <v>8</v>
      </c>
      <c r="H122" s="47">
        <v>453822</v>
      </c>
      <c r="I122" s="47">
        <v>326751.84000000003</v>
      </c>
      <c r="J122" s="47">
        <v>127070.15999999997</v>
      </c>
      <c r="K122" s="29">
        <f t="shared" si="4"/>
        <v>0.27999999999999997</v>
      </c>
    </row>
    <row r="123" spans="1:11" s="1" customFormat="1">
      <c r="A123" s="27">
        <v>1122</v>
      </c>
      <c r="B123" s="30">
        <v>45634</v>
      </c>
      <c r="C123" s="28" t="str">
        <f t="shared" si="3"/>
        <v>Dec</v>
      </c>
      <c r="D123" s="27" t="s">
        <v>12</v>
      </c>
      <c r="E123" s="27" t="str">
        <f t="shared" ca="1" si="5"/>
        <v>Shiv Dubey</v>
      </c>
      <c r="F123" s="27" t="s">
        <v>16</v>
      </c>
      <c r="G123" s="27">
        <v>10</v>
      </c>
      <c r="H123" s="47">
        <v>128299</v>
      </c>
      <c r="I123" s="47">
        <v>109054.15</v>
      </c>
      <c r="J123" s="47">
        <v>19244.850000000006</v>
      </c>
      <c r="K123" s="29">
        <f t="shared" si="4"/>
        <v>0.15000000000000005</v>
      </c>
    </row>
    <row r="124" spans="1:11" s="1" customFormat="1">
      <c r="A124" s="27">
        <v>1123</v>
      </c>
      <c r="B124" s="30">
        <v>45595</v>
      </c>
      <c r="C124" s="28" t="str">
        <f t="shared" si="3"/>
        <v>Oct</v>
      </c>
      <c r="D124" s="27" t="s">
        <v>13</v>
      </c>
      <c r="E124" s="27" t="str">
        <f t="shared" ca="1" si="5"/>
        <v>Aaradhya Singh</v>
      </c>
      <c r="F124" s="27" t="s">
        <v>52</v>
      </c>
      <c r="G124" s="27">
        <v>10</v>
      </c>
      <c r="H124" s="47">
        <v>254085</v>
      </c>
      <c r="I124" s="47">
        <v>223594.8</v>
      </c>
      <c r="J124" s="47">
        <v>30490.200000000012</v>
      </c>
      <c r="K124" s="29">
        <f t="shared" si="4"/>
        <v>0.12000000000000005</v>
      </c>
    </row>
    <row r="125" spans="1:11" s="1" customFormat="1">
      <c r="A125" s="27">
        <v>1124</v>
      </c>
      <c r="B125" s="30">
        <v>45295</v>
      </c>
      <c r="C125" s="28" t="str">
        <f t="shared" si="3"/>
        <v>Jan</v>
      </c>
      <c r="D125" s="27" t="s">
        <v>8</v>
      </c>
      <c r="E125" s="27" t="str">
        <f t="shared" ca="1" si="5"/>
        <v>Neha Sharma</v>
      </c>
      <c r="F125" s="27" t="s">
        <v>15</v>
      </c>
      <c r="G125" s="27">
        <v>3</v>
      </c>
      <c r="H125" s="47">
        <v>387696</v>
      </c>
      <c r="I125" s="47">
        <v>337295.52</v>
      </c>
      <c r="J125" s="47">
        <v>50400.479999999981</v>
      </c>
      <c r="K125" s="29">
        <f t="shared" si="4"/>
        <v>0.12999999999999995</v>
      </c>
    </row>
    <row r="126" spans="1:11" s="1" customFormat="1">
      <c r="A126" s="27">
        <v>1125</v>
      </c>
      <c r="B126" s="30">
        <v>45443</v>
      </c>
      <c r="C126" s="28" t="str">
        <f t="shared" si="3"/>
        <v>May</v>
      </c>
      <c r="D126" s="27" t="s">
        <v>8</v>
      </c>
      <c r="E126" s="27" t="str">
        <f t="shared" ca="1" si="5"/>
        <v>Ira Rajdev</v>
      </c>
      <c r="F126" s="27" t="s">
        <v>15</v>
      </c>
      <c r="G126" s="27">
        <v>9</v>
      </c>
      <c r="H126" s="47">
        <v>232844</v>
      </c>
      <c r="I126" s="47">
        <v>146691.72</v>
      </c>
      <c r="J126" s="47">
        <v>86152.28</v>
      </c>
      <c r="K126" s="29">
        <f t="shared" si="4"/>
        <v>0.37</v>
      </c>
    </row>
    <row r="127" spans="1:11" s="1" customFormat="1">
      <c r="A127" s="27">
        <v>1126</v>
      </c>
      <c r="B127" s="30">
        <v>45375</v>
      </c>
      <c r="C127" s="28" t="str">
        <f t="shared" si="3"/>
        <v>Mar</v>
      </c>
      <c r="D127" s="27" t="s">
        <v>8</v>
      </c>
      <c r="E127" s="27" t="str">
        <f t="shared" ca="1" si="5"/>
        <v>Amit Singh</v>
      </c>
      <c r="F127" s="27" t="s">
        <v>52</v>
      </c>
      <c r="G127" s="27">
        <v>8</v>
      </c>
      <c r="H127" s="47">
        <v>466343</v>
      </c>
      <c r="I127" s="47">
        <v>335766.96</v>
      </c>
      <c r="J127" s="47">
        <v>130576.03999999998</v>
      </c>
      <c r="K127" s="29">
        <f t="shared" si="4"/>
        <v>0.27999999999999997</v>
      </c>
    </row>
    <row r="128" spans="1:11" s="1" customFormat="1">
      <c r="A128" s="27">
        <v>1127</v>
      </c>
      <c r="B128" s="30">
        <v>45463</v>
      </c>
      <c r="C128" s="28" t="str">
        <f t="shared" si="3"/>
        <v>Jun</v>
      </c>
      <c r="D128" s="27" t="s">
        <v>12</v>
      </c>
      <c r="E128" s="27" t="str">
        <f t="shared" ca="1" si="5"/>
        <v>Shiv Dubey</v>
      </c>
      <c r="F128" s="27" t="s">
        <v>17</v>
      </c>
      <c r="G128" s="27">
        <v>4</v>
      </c>
      <c r="H128" s="47">
        <v>193994</v>
      </c>
      <c r="I128" s="47">
        <v>137735.74</v>
      </c>
      <c r="J128" s="47">
        <v>56258.260000000009</v>
      </c>
      <c r="K128" s="29">
        <f t="shared" si="4"/>
        <v>0.29000000000000004</v>
      </c>
    </row>
    <row r="129" spans="1:11" s="1" customFormat="1">
      <c r="A129" s="27">
        <v>1128</v>
      </c>
      <c r="B129" s="30">
        <v>45467</v>
      </c>
      <c r="C129" s="28" t="str">
        <f t="shared" si="3"/>
        <v>Jun</v>
      </c>
      <c r="D129" s="27" t="s">
        <v>8</v>
      </c>
      <c r="E129" s="27" t="str">
        <f t="shared" ca="1" si="5"/>
        <v>Raj Nair</v>
      </c>
      <c r="F129" s="27" t="s">
        <v>16</v>
      </c>
      <c r="G129" s="27">
        <v>4</v>
      </c>
      <c r="H129" s="47">
        <v>404446</v>
      </c>
      <c r="I129" s="47">
        <v>262889.90000000002</v>
      </c>
      <c r="J129" s="47">
        <v>141556.09999999998</v>
      </c>
      <c r="K129" s="29">
        <f t="shared" si="4"/>
        <v>0.34999999999999992</v>
      </c>
    </row>
    <row r="130" spans="1:11" s="1" customFormat="1">
      <c r="A130" s="27">
        <v>1129</v>
      </c>
      <c r="B130" s="30">
        <v>45572</v>
      </c>
      <c r="C130" s="28" t="str">
        <f t="shared" si="3"/>
        <v>Oct</v>
      </c>
      <c r="D130" s="27" t="s">
        <v>11</v>
      </c>
      <c r="E130" s="27" t="str">
        <f t="shared" ca="1" si="5"/>
        <v>Amit Singh</v>
      </c>
      <c r="F130" s="27" t="s">
        <v>15</v>
      </c>
      <c r="G130" s="27">
        <v>6</v>
      </c>
      <c r="H130" s="47">
        <v>155929</v>
      </c>
      <c r="I130" s="47">
        <v>107591.01</v>
      </c>
      <c r="J130" s="47">
        <v>48337.990000000005</v>
      </c>
      <c r="K130" s="29">
        <f t="shared" si="4"/>
        <v>0.31000000000000005</v>
      </c>
    </row>
    <row r="131" spans="1:11" s="1" customFormat="1">
      <c r="A131" s="27">
        <v>1130</v>
      </c>
      <c r="B131" s="30">
        <v>45430</v>
      </c>
      <c r="C131" s="28" t="str">
        <f t="shared" ref="C131:C194" si="6">TEXT(B131,"mmm")</f>
        <v>May</v>
      </c>
      <c r="D131" s="27" t="s">
        <v>12</v>
      </c>
      <c r="E131" s="27" t="str">
        <f t="shared" ca="1" si="5"/>
        <v>Aashish Solankhi</v>
      </c>
      <c r="F131" s="27" t="s">
        <v>16</v>
      </c>
      <c r="G131" s="27">
        <v>3</v>
      </c>
      <c r="H131" s="47">
        <v>405876</v>
      </c>
      <c r="I131" s="47">
        <v>308465.76</v>
      </c>
      <c r="J131" s="47">
        <v>97410.239999999991</v>
      </c>
      <c r="K131" s="29">
        <f t="shared" ref="K131:K194" si="7">J131/H131</f>
        <v>0.23999999999999996</v>
      </c>
    </row>
    <row r="132" spans="1:11" s="1" customFormat="1">
      <c r="A132" s="27">
        <v>1131</v>
      </c>
      <c r="B132" s="30">
        <v>45523</v>
      </c>
      <c r="C132" s="28" t="str">
        <f t="shared" si="6"/>
        <v>Aug</v>
      </c>
      <c r="D132" s="27" t="s">
        <v>12</v>
      </c>
      <c r="E132" s="27" t="str">
        <f t="shared" ca="1" si="5"/>
        <v>Shiv Dubey</v>
      </c>
      <c r="F132" s="27" t="s">
        <v>52</v>
      </c>
      <c r="G132" s="27">
        <v>4</v>
      </c>
      <c r="H132" s="47">
        <v>204171</v>
      </c>
      <c r="I132" s="47">
        <v>159253.38</v>
      </c>
      <c r="J132" s="47">
        <v>44917.619999999995</v>
      </c>
      <c r="K132" s="29">
        <f t="shared" si="7"/>
        <v>0.21999999999999997</v>
      </c>
    </row>
    <row r="133" spans="1:11" s="1" customFormat="1">
      <c r="A133" s="27">
        <v>1132</v>
      </c>
      <c r="B133" s="30">
        <v>45580</v>
      </c>
      <c r="C133" s="28" t="str">
        <f t="shared" si="6"/>
        <v>Oct</v>
      </c>
      <c r="D133" s="27" t="s">
        <v>13</v>
      </c>
      <c r="E133" s="27" t="str">
        <f t="shared" ca="1" si="5"/>
        <v>Amit Singh</v>
      </c>
      <c r="F133" s="27" t="s">
        <v>52</v>
      </c>
      <c r="G133" s="27">
        <v>9</v>
      </c>
      <c r="H133" s="47">
        <v>150647</v>
      </c>
      <c r="I133" s="47">
        <v>97920.55</v>
      </c>
      <c r="J133" s="47">
        <v>52726.45</v>
      </c>
      <c r="K133" s="29">
        <f t="shared" si="7"/>
        <v>0.35</v>
      </c>
    </row>
    <row r="134" spans="1:11" s="1" customFormat="1">
      <c r="A134" s="27">
        <v>1133</v>
      </c>
      <c r="B134" s="30">
        <v>45458</v>
      </c>
      <c r="C134" s="28" t="str">
        <f t="shared" si="6"/>
        <v>Jun</v>
      </c>
      <c r="D134" s="27" t="s">
        <v>13</v>
      </c>
      <c r="E134" s="27" t="str">
        <f t="shared" ca="1" si="5"/>
        <v>Ira Rajdev</v>
      </c>
      <c r="F134" s="27" t="s">
        <v>52</v>
      </c>
      <c r="G134" s="27">
        <v>4</v>
      </c>
      <c r="H134" s="47">
        <v>280018</v>
      </c>
      <c r="I134" s="47">
        <v>238015.3</v>
      </c>
      <c r="J134" s="47">
        <v>42002.700000000012</v>
      </c>
      <c r="K134" s="29">
        <f t="shared" si="7"/>
        <v>0.15000000000000005</v>
      </c>
    </row>
    <row r="135" spans="1:11" s="1" customFormat="1">
      <c r="A135" s="27">
        <v>1134</v>
      </c>
      <c r="B135" s="30">
        <v>45549</v>
      </c>
      <c r="C135" s="28" t="str">
        <f t="shared" si="6"/>
        <v>Sep</v>
      </c>
      <c r="D135" s="27" t="s">
        <v>8</v>
      </c>
      <c r="E135" s="27" t="str">
        <f t="shared" ca="1" si="5"/>
        <v>Aashish Solankhi</v>
      </c>
      <c r="F135" s="27" t="s">
        <v>16</v>
      </c>
      <c r="G135" s="27">
        <v>4</v>
      </c>
      <c r="H135" s="47">
        <v>436653</v>
      </c>
      <c r="I135" s="47">
        <v>310023.63</v>
      </c>
      <c r="J135" s="47">
        <v>126629.37</v>
      </c>
      <c r="K135" s="29">
        <f t="shared" si="7"/>
        <v>0.28999999999999998</v>
      </c>
    </row>
    <row r="136" spans="1:11" s="1" customFormat="1">
      <c r="A136" s="27">
        <v>1135</v>
      </c>
      <c r="B136" s="30">
        <v>45393</v>
      </c>
      <c r="C136" s="28" t="str">
        <f t="shared" si="6"/>
        <v>Apr</v>
      </c>
      <c r="D136" s="27" t="s">
        <v>11</v>
      </c>
      <c r="E136" s="27" t="str">
        <f t="shared" ca="1" si="5"/>
        <v>Rajiv Kumar</v>
      </c>
      <c r="F136" s="27" t="s">
        <v>17</v>
      </c>
      <c r="G136" s="27">
        <v>3</v>
      </c>
      <c r="H136" s="47">
        <v>369347</v>
      </c>
      <c r="I136" s="47">
        <v>328718.83</v>
      </c>
      <c r="J136" s="47">
        <v>40628.169999999984</v>
      </c>
      <c r="K136" s="29">
        <f t="shared" si="7"/>
        <v>0.10999999999999996</v>
      </c>
    </row>
    <row r="137" spans="1:11" s="1" customFormat="1">
      <c r="A137" s="27">
        <v>1136</v>
      </c>
      <c r="B137" s="30">
        <v>45473</v>
      </c>
      <c r="C137" s="28" t="str">
        <f t="shared" si="6"/>
        <v>Jun</v>
      </c>
      <c r="D137" s="27" t="s">
        <v>13</v>
      </c>
      <c r="E137" s="27" t="str">
        <f t="shared" ca="1" si="5"/>
        <v>Raj Nair</v>
      </c>
      <c r="F137" s="27" t="s">
        <v>10</v>
      </c>
      <c r="G137" s="27">
        <v>8</v>
      </c>
      <c r="H137" s="47">
        <v>459424</v>
      </c>
      <c r="I137" s="47">
        <v>317002.56</v>
      </c>
      <c r="J137" s="47">
        <v>142421.44</v>
      </c>
      <c r="K137" s="29">
        <f t="shared" si="7"/>
        <v>0.31</v>
      </c>
    </row>
    <row r="138" spans="1:11" s="1" customFormat="1">
      <c r="A138" s="27">
        <v>1137</v>
      </c>
      <c r="B138" s="30">
        <v>45635</v>
      </c>
      <c r="C138" s="28" t="str">
        <f t="shared" si="6"/>
        <v>Dec</v>
      </c>
      <c r="D138" s="27" t="s">
        <v>11</v>
      </c>
      <c r="E138" s="27" t="str">
        <f t="shared" ca="1" si="5"/>
        <v>Neha Sharma</v>
      </c>
      <c r="F138" s="27" t="s">
        <v>15</v>
      </c>
      <c r="G138" s="27">
        <v>1</v>
      </c>
      <c r="H138" s="47">
        <v>293813</v>
      </c>
      <c r="I138" s="47">
        <v>196854.71</v>
      </c>
      <c r="J138" s="47">
        <v>96958.290000000008</v>
      </c>
      <c r="K138" s="29">
        <f t="shared" si="7"/>
        <v>0.33</v>
      </c>
    </row>
    <row r="139" spans="1:11" s="1" customFormat="1">
      <c r="A139" s="27">
        <v>1138</v>
      </c>
      <c r="B139" s="30">
        <v>45402</v>
      </c>
      <c r="C139" s="28" t="str">
        <f t="shared" si="6"/>
        <v>Apr</v>
      </c>
      <c r="D139" s="27" t="s">
        <v>8</v>
      </c>
      <c r="E139" s="27" t="str">
        <f t="shared" ref="E139:E200" ca="1" si="8">INDEX($E$2:$E$9,RANDBETWEEN(1,8))</f>
        <v>Shiv Dubey</v>
      </c>
      <c r="F139" s="27" t="s">
        <v>17</v>
      </c>
      <c r="G139" s="27">
        <v>9</v>
      </c>
      <c r="H139" s="47">
        <v>478745</v>
      </c>
      <c r="I139" s="47">
        <v>306396.79999999999</v>
      </c>
      <c r="J139" s="47">
        <v>172348.2</v>
      </c>
      <c r="K139" s="29">
        <f t="shared" si="7"/>
        <v>0.36000000000000004</v>
      </c>
    </row>
    <row r="140" spans="1:11" s="1" customFormat="1">
      <c r="A140" s="27">
        <v>1139</v>
      </c>
      <c r="B140" s="30">
        <v>45563</v>
      </c>
      <c r="C140" s="28" t="str">
        <f t="shared" si="6"/>
        <v>Sep</v>
      </c>
      <c r="D140" s="27" t="s">
        <v>11</v>
      </c>
      <c r="E140" s="27" t="str">
        <f t="shared" ca="1" si="8"/>
        <v>Amit Singh</v>
      </c>
      <c r="F140" s="27" t="s">
        <v>16</v>
      </c>
      <c r="G140" s="27">
        <v>8</v>
      </c>
      <c r="H140" s="47">
        <v>429473</v>
      </c>
      <c r="I140" s="47">
        <v>313515.28999999998</v>
      </c>
      <c r="J140" s="47">
        <v>115957.71000000002</v>
      </c>
      <c r="K140" s="29">
        <f t="shared" si="7"/>
        <v>0.27000000000000007</v>
      </c>
    </row>
    <row r="141" spans="1:11" s="1" customFormat="1">
      <c r="A141" s="27">
        <v>1140</v>
      </c>
      <c r="B141" s="30">
        <v>45404</v>
      </c>
      <c r="C141" s="28" t="str">
        <f t="shared" si="6"/>
        <v>Apr</v>
      </c>
      <c r="D141" s="27" t="s">
        <v>12</v>
      </c>
      <c r="E141" s="27" t="str">
        <f t="shared" ca="1" si="8"/>
        <v>Shiv Dubey</v>
      </c>
      <c r="F141" s="27" t="s">
        <v>52</v>
      </c>
      <c r="G141" s="27">
        <v>9</v>
      </c>
      <c r="H141" s="47">
        <v>304105</v>
      </c>
      <c r="I141" s="47">
        <v>261530.3</v>
      </c>
      <c r="J141" s="47">
        <v>42574.700000000012</v>
      </c>
      <c r="K141" s="29">
        <f t="shared" si="7"/>
        <v>0.14000000000000004</v>
      </c>
    </row>
    <row r="142" spans="1:11" s="1" customFormat="1">
      <c r="A142" s="27">
        <v>1141</v>
      </c>
      <c r="B142" s="30">
        <v>45594</v>
      </c>
      <c r="C142" s="28" t="str">
        <f t="shared" si="6"/>
        <v>Oct</v>
      </c>
      <c r="D142" s="27" t="s">
        <v>13</v>
      </c>
      <c r="E142" s="27" t="str">
        <f t="shared" ca="1" si="8"/>
        <v>Raj Nair</v>
      </c>
      <c r="F142" s="27" t="s">
        <v>15</v>
      </c>
      <c r="G142" s="27">
        <v>8</v>
      </c>
      <c r="H142" s="47">
        <v>431132</v>
      </c>
      <c r="I142" s="47">
        <v>340594.28</v>
      </c>
      <c r="J142" s="47">
        <v>90537.719999999972</v>
      </c>
      <c r="K142" s="29">
        <f t="shared" si="7"/>
        <v>0.20999999999999994</v>
      </c>
    </row>
    <row r="143" spans="1:11" s="1" customFormat="1">
      <c r="A143" s="27">
        <v>1142</v>
      </c>
      <c r="B143" s="30">
        <v>45485</v>
      </c>
      <c r="C143" s="28" t="str">
        <f t="shared" si="6"/>
        <v>Jul</v>
      </c>
      <c r="D143" s="27" t="s">
        <v>8</v>
      </c>
      <c r="E143" s="27" t="str">
        <f t="shared" ca="1" si="8"/>
        <v>Ira Rajdev</v>
      </c>
      <c r="F143" s="27" t="s">
        <v>52</v>
      </c>
      <c r="G143" s="27">
        <v>3</v>
      </c>
      <c r="H143" s="47">
        <v>316430</v>
      </c>
      <c r="I143" s="47">
        <v>253144</v>
      </c>
      <c r="J143" s="47">
        <v>63286</v>
      </c>
      <c r="K143" s="29">
        <f t="shared" si="7"/>
        <v>0.2</v>
      </c>
    </row>
    <row r="144" spans="1:11" s="1" customFormat="1">
      <c r="A144" s="27">
        <v>1143</v>
      </c>
      <c r="B144" s="30">
        <v>45494</v>
      </c>
      <c r="C144" s="28" t="str">
        <f t="shared" si="6"/>
        <v>Jul</v>
      </c>
      <c r="D144" s="27" t="s">
        <v>13</v>
      </c>
      <c r="E144" s="27" t="str">
        <f t="shared" ca="1" si="8"/>
        <v>Aashish Solankhi</v>
      </c>
      <c r="F144" s="27" t="s">
        <v>16</v>
      </c>
      <c r="G144" s="27">
        <v>5</v>
      </c>
      <c r="H144" s="47">
        <v>288344</v>
      </c>
      <c r="I144" s="47">
        <v>236442.08</v>
      </c>
      <c r="J144" s="47">
        <v>51901.920000000013</v>
      </c>
      <c r="K144" s="29">
        <f t="shared" si="7"/>
        <v>0.18000000000000005</v>
      </c>
    </row>
    <row r="145" spans="1:11" s="1" customFormat="1">
      <c r="A145" s="27">
        <v>1144</v>
      </c>
      <c r="B145" s="30">
        <v>45296</v>
      </c>
      <c r="C145" s="28" t="str">
        <f t="shared" si="6"/>
        <v>Jan</v>
      </c>
      <c r="D145" s="27" t="s">
        <v>8</v>
      </c>
      <c r="E145" s="27" t="str">
        <f t="shared" ca="1" si="8"/>
        <v>Aaradhya Singh</v>
      </c>
      <c r="F145" s="27" t="s">
        <v>16</v>
      </c>
      <c r="G145" s="27">
        <v>4</v>
      </c>
      <c r="H145" s="47">
        <v>216547</v>
      </c>
      <c r="I145" s="47">
        <v>142921.01999999999</v>
      </c>
      <c r="J145" s="47">
        <v>73625.98000000001</v>
      </c>
      <c r="K145" s="29">
        <f t="shared" si="7"/>
        <v>0.34</v>
      </c>
    </row>
    <row r="146" spans="1:11" s="1" customFormat="1">
      <c r="A146" s="27">
        <v>1145</v>
      </c>
      <c r="B146" s="30">
        <v>45601</v>
      </c>
      <c r="C146" s="28" t="str">
        <f t="shared" si="6"/>
        <v>Nov</v>
      </c>
      <c r="D146" s="27" t="s">
        <v>11</v>
      </c>
      <c r="E146" s="27" t="str">
        <f t="shared" ca="1" si="8"/>
        <v>Rajiv Kumar</v>
      </c>
      <c r="F146" s="27" t="s">
        <v>52</v>
      </c>
      <c r="G146" s="27">
        <v>8</v>
      </c>
      <c r="H146" s="47">
        <v>289009</v>
      </c>
      <c r="I146" s="47">
        <v>234097.29</v>
      </c>
      <c r="J146" s="47">
        <v>54911.709999999992</v>
      </c>
      <c r="K146" s="29">
        <f t="shared" si="7"/>
        <v>0.18999999999999997</v>
      </c>
    </row>
    <row r="147" spans="1:11" s="1" customFormat="1">
      <c r="A147" s="27">
        <v>1146</v>
      </c>
      <c r="B147" s="30">
        <v>45573</v>
      </c>
      <c r="C147" s="28" t="str">
        <f t="shared" si="6"/>
        <v>Oct</v>
      </c>
      <c r="D147" s="27" t="s">
        <v>11</v>
      </c>
      <c r="E147" s="27" t="str">
        <f t="shared" ca="1" si="8"/>
        <v>Aaradhya Singh</v>
      </c>
      <c r="F147" s="27" t="s">
        <v>52</v>
      </c>
      <c r="G147" s="27">
        <v>8</v>
      </c>
      <c r="H147" s="47">
        <v>472135</v>
      </c>
      <c r="I147" s="47">
        <v>292723.7</v>
      </c>
      <c r="J147" s="47">
        <v>179411.3</v>
      </c>
      <c r="K147" s="29">
        <f t="shared" si="7"/>
        <v>0.37999999999999995</v>
      </c>
    </row>
    <row r="148" spans="1:11" s="1" customFormat="1">
      <c r="A148" s="27">
        <v>1147</v>
      </c>
      <c r="B148" s="30">
        <v>45589</v>
      </c>
      <c r="C148" s="28" t="str">
        <f t="shared" si="6"/>
        <v>Oct</v>
      </c>
      <c r="D148" s="27" t="s">
        <v>11</v>
      </c>
      <c r="E148" s="27" t="str">
        <f t="shared" ca="1" si="8"/>
        <v>Rajiv Kumar</v>
      </c>
      <c r="F148" s="27" t="s">
        <v>16</v>
      </c>
      <c r="G148" s="27">
        <v>9</v>
      </c>
      <c r="H148" s="47">
        <v>184134</v>
      </c>
      <c r="I148" s="47">
        <v>116004.42</v>
      </c>
      <c r="J148" s="47">
        <v>68129.58</v>
      </c>
      <c r="K148" s="29">
        <f t="shared" si="7"/>
        <v>0.37</v>
      </c>
    </row>
    <row r="149" spans="1:11" s="1" customFormat="1">
      <c r="A149" s="27">
        <v>1148</v>
      </c>
      <c r="B149" s="30">
        <v>45342</v>
      </c>
      <c r="C149" s="28" t="str">
        <f t="shared" si="6"/>
        <v>Feb</v>
      </c>
      <c r="D149" s="27" t="s">
        <v>13</v>
      </c>
      <c r="E149" s="27" t="str">
        <f t="shared" ca="1" si="8"/>
        <v>Ira Rajdev</v>
      </c>
      <c r="F149" s="27" t="s">
        <v>16</v>
      </c>
      <c r="G149" s="27">
        <v>1</v>
      </c>
      <c r="H149" s="47">
        <v>458949</v>
      </c>
      <c r="I149" s="47">
        <v>403875.12</v>
      </c>
      <c r="J149" s="47">
        <v>55073.880000000005</v>
      </c>
      <c r="K149" s="29">
        <f t="shared" si="7"/>
        <v>0.12000000000000001</v>
      </c>
    </row>
    <row r="150" spans="1:11" s="1" customFormat="1">
      <c r="A150" s="27">
        <v>1149</v>
      </c>
      <c r="B150" s="30">
        <v>45540</v>
      </c>
      <c r="C150" s="28" t="str">
        <f t="shared" si="6"/>
        <v>Sep</v>
      </c>
      <c r="D150" s="27" t="s">
        <v>12</v>
      </c>
      <c r="E150" s="27" t="str">
        <f t="shared" ca="1" si="8"/>
        <v>Neha Sharma</v>
      </c>
      <c r="F150" s="27" t="s">
        <v>17</v>
      </c>
      <c r="G150" s="27">
        <v>3</v>
      </c>
      <c r="H150" s="47">
        <v>104835</v>
      </c>
      <c r="I150" s="47">
        <v>76529.55</v>
      </c>
      <c r="J150" s="47">
        <v>28305.449999999997</v>
      </c>
      <c r="K150" s="29">
        <f t="shared" si="7"/>
        <v>0.26999999999999996</v>
      </c>
    </row>
    <row r="151" spans="1:11" s="1" customFormat="1">
      <c r="A151" s="27">
        <v>1150</v>
      </c>
      <c r="B151" s="30">
        <v>45389</v>
      </c>
      <c r="C151" s="28" t="str">
        <f t="shared" si="6"/>
        <v>Apr</v>
      </c>
      <c r="D151" s="27" t="s">
        <v>12</v>
      </c>
      <c r="E151" s="27" t="str">
        <f t="shared" ca="1" si="8"/>
        <v>Rajiv Kumar</v>
      </c>
      <c r="F151" s="27" t="s">
        <v>16</v>
      </c>
      <c r="G151" s="27">
        <v>3</v>
      </c>
      <c r="H151" s="47">
        <v>486597</v>
      </c>
      <c r="I151" s="47">
        <v>360081.78</v>
      </c>
      <c r="J151" s="47">
        <v>126515.21999999997</v>
      </c>
      <c r="K151" s="29">
        <f t="shared" si="7"/>
        <v>0.25999999999999995</v>
      </c>
    </row>
    <row r="152" spans="1:11" s="1" customFormat="1">
      <c r="A152" s="27">
        <v>1151</v>
      </c>
      <c r="B152" s="30">
        <v>45324</v>
      </c>
      <c r="C152" s="28" t="str">
        <f t="shared" si="6"/>
        <v>Feb</v>
      </c>
      <c r="D152" s="27" t="s">
        <v>13</v>
      </c>
      <c r="E152" s="27" t="str">
        <f t="shared" ca="1" si="8"/>
        <v>Raj Nair</v>
      </c>
      <c r="F152" s="27" t="s">
        <v>16</v>
      </c>
      <c r="G152" s="27">
        <v>8</v>
      </c>
      <c r="H152" s="47">
        <v>247969</v>
      </c>
      <c r="I152" s="47">
        <v>168618.92</v>
      </c>
      <c r="J152" s="47">
        <v>79350.079999999987</v>
      </c>
      <c r="K152" s="29">
        <f t="shared" si="7"/>
        <v>0.31999999999999995</v>
      </c>
    </row>
    <row r="153" spans="1:11" s="1" customFormat="1">
      <c r="A153" s="27">
        <v>1152</v>
      </c>
      <c r="B153" s="30">
        <v>45508</v>
      </c>
      <c r="C153" s="28" t="str">
        <f t="shared" si="6"/>
        <v>Aug</v>
      </c>
      <c r="D153" s="27" t="s">
        <v>11</v>
      </c>
      <c r="E153" s="27" t="str">
        <f t="shared" ca="1" si="8"/>
        <v>Shiv Dubey</v>
      </c>
      <c r="F153" s="27" t="s">
        <v>15</v>
      </c>
      <c r="G153" s="27">
        <v>10</v>
      </c>
      <c r="H153" s="47">
        <v>449678</v>
      </c>
      <c r="I153" s="47">
        <v>296787.48</v>
      </c>
      <c r="J153" s="47">
        <v>152890.52000000002</v>
      </c>
      <c r="K153" s="29">
        <f t="shared" si="7"/>
        <v>0.34</v>
      </c>
    </row>
    <row r="154" spans="1:11" s="1" customFormat="1">
      <c r="A154" s="27">
        <v>1153</v>
      </c>
      <c r="B154" s="30">
        <v>45619</v>
      </c>
      <c r="C154" s="28" t="str">
        <f t="shared" si="6"/>
        <v>Nov</v>
      </c>
      <c r="D154" s="27" t="s">
        <v>13</v>
      </c>
      <c r="E154" s="27" t="str">
        <f t="shared" ca="1" si="8"/>
        <v>Ira Rajdev</v>
      </c>
      <c r="F154" s="27" t="s">
        <v>15</v>
      </c>
      <c r="G154" s="27">
        <v>2</v>
      </c>
      <c r="H154" s="47">
        <v>128128</v>
      </c>
      <c r="I154" s="47">
        <v>102502.39999999999</v>
      </c>
      <c r="J154" s="47">
        <v>25625.600000000006</v>
      </c>
      <c r="K154" s="29">
        <f t="shared" si="7"/>
        <v>0.20000000000000004</v>
      </c>
    </row>
    <row r="155" spans="1:11" s="1" customFormat="1">
      <c r="A155" s="27">
        <v>1154</v>
      </c>
      <c r="B155" s="30">
        <v>45575</v>
      </c>
      <c r="C155" s="28" t="str">
        <f t="shared" si="6"/>
        <v>Oct</v>
      </c>
      <c r="D155" s="27" t="s">
        <v>8</v>
      </c>
      <c r="E155" s="27" t="str">
        <f t="shared" ca="1" si="8"/>
        <v>Shiv Dubey</v>
      </c>
      <c r="F155" s="27" t="s">
        <v>10</v>
      </c>
      <c r="G155" s="27">
        <v>6</v>
      </c>
      <c r="H155" s="47">
        <v>188581</v>
      </c>
      <c r="I155" s="47">
        <v>141435.75</v>
      </c>
      <c r="J155" s="47">
        <v>47145.25</v>
      </c>
      <c r="K155" s="29">
        <f t="shared" si="7"/>
        <v>0.25</v>
      </c>
    </row>
    <row r="156" spans="1:11" s="1" customFormat="1">
      <c r="A156" s="27">
        <v>1155</v>
      </c>
      <c r="B156" s="30">
        <v>45594</v>
      </c>
      <c r="C156" s="28" t="str">
        <f t="shared" si="6"/>
        <v>Oct</v>
      </c>
      <c r="D156" s="27" t="s">
        <v>12</v>
      </c>
      <c r="E156" s="27" t="str">
        <f t="shared" ca="1" si="8"/>
        <v>Amit Singh</v>
      </c>
      <c r="F156" s="27" t="s">
        <v>15</v>
      </c>
      <c r="G156" s="27">
        <v>6</v>
      </c>
      <c r="H156" s="47">
        <v>249120</v>
      </c>
      <c r="I156" s="47">
        <v>191822.4</v>
      </c>
      <c r="J156" s="47">
        <v>57297.600000000006</v>
      </c>
      <c r="K156" s="29">
        <f t="shared" si="7"/>
        <v>0.23</v>
      </c>
    </row>
    <row r="157" spans="1:11" s="1" customFormat="1">
      <c r="A157" s="27">
        <v>1156</v>
      </c>
      <c r="B157" s="30">
        <v>45632</v>
      </c>
      <c r="C157" s="28" t="str">
        <f t="shared" si="6"/>
        <v>Dec</v>
      </c>
      <c r="D157" s="27" t="s">
        <v>11</v>
      </c>
      <c r="E157" s="27" t="str">
        <f t="shared" ca="1" si="8"/>
        <v>Ira Rajdev</v>
      </c>
      <c r="F157" s="27" t="s">
        <v>10</v>
      </c>
      <c r="G157" s="27">
        <v>3</v>
      </c>
      <c r="H157" s="47">
        <v>219740</v>
      </c>
      <c r="I157" s="47">
        <v>195568.6</v>
      </c>
      <c r="J157" s="47">
        <v>24171.399999999994</v>
      </c>
      <c r="K157" s="29">
        <f t="shared" si="7"/>
        <v>0.10999999999999997</v>
      </c>
    </row>
    <row r="158" spans="1:11" s="1" customFormat="1">
      <c r="A158" s="27">
        <v>1157</v>
      </c>
      <c r="B158" s="30">
        <v>45643</v>
      </c>
      <c r="C158" s="28" t="str">
        <f t="shared" si="6"/>
        <v>Dec</v>
      </c>
      <c r="D158" s="27" t="s">
        <v>11</v>
      </c>
      <c r="E158" s="27" t="str">
        <f t="shared" ca="1" si="8"/>
        <v>Neha Sharma</v>
      </c>
      <c r="F158" s="27" t="s">
        <v>10</v>
      </c>
      <c r="G158" s="27">
        <v>9</v>
      </c>
      <c r="H158" s="47">
        <v>338091</v>
      </c>
      <c r="I158" s="47">
        <v>256949.16</v>
      </c>
      <c r="J158" s="47">
        <v>81141.84</v>
      </c>
      <c r="K158" s="29">
        <f t="shared" si="7"/>
        <v>0.24</v>
      </c>
    </row>
    <row r="159" spans="1:11" s="1" customFormat="1">
      <c r="A159" s="27">
        <v>1158</v>
      </c>
      <c r="B159" s="30">
        <v>45377</v>
      </c>
      <c r="C159" s="28" t="str">
        <f t="shared" si="6"/>
        <v>Mar</v>
      </c>
      <c r="D159" s="27" t="s">
        <v>8</v>
      </c>
      <c r="E159" s="27" t="str">
        <f t="shared" ca="1" si="8"/>
        <v>Neha Sharma</v>
      </c>
      <c r="F159" s="27" t="s">
        <v>52</v>
      </c>
      <c r="G159" s="27">
        <v>8</v>
      </c>
      <c r="H159" s="47">
        <v>466507</v>
      </c>
      <c r="I159" s="47">
        <v>289234.34000000003</v>
      </c>
      <c r="J159" s="47">
        <v>177272.65999999997</v>
      </c>
      <c r="K159" s="29">
        <f t="shared" si="7"/>
        <v>0.37999999999999995</v>
      </c>
    </row>
    <row r="160" spans="1:11" s="1" customFormat="1">
      <c r="A160" s="27">
        <v>1159</v>
      </c>
      <c r="B160" s="30">
        <v>45301</v>
      </c>
      <c r="C160" s="28" t="str">
        <f t="shared" si="6"/>
        <v>Jan</v>
      </c>
      <c r="D160" s="27" t="s">
        <v>13</v>
      </c>
      <c r="E160" s="27" t="str">
        <f t="shared" ca="1" si="8"/>
        <v>Shiv Dubey</v>
      </c>
      <c r="F160" s="27" t="s">
        <v>52</v>
      </c>
      <c r="G160" s="27">
        <v>5</v>
      </c>
      <c r="H160" s="47">
        <v>407472</v>
      </c>
      <c r="I160" s="47">
        <v>256707.36</v>
      </c>
      <c r="J160" s="47">
        <v>150764.64000000001</v>
      </c>
      <c r="K160" s="29">
        <f t="shared" si="7"/>
        <v>0.37000000000000005</v>
      </c>
    </row>
    <row r="161" spans="1:11" s="1" customFormat="1">
      <c r="A161" s="27">
        <v>1160</v>
      </c>
      <c r="B161" s="30">
        <v>45487</v>
      </c>
      <c r="C161" s="28" t="str">
        <f t="shared" si="6"/>
        <v>Jul</v>
      </c>
      <c r="D161" s="27" t="s">
        <v>12</v>
      </c>
      <c r="E161" s="27" t="str">
        <f t="shared" ca="1" si="8"/>
        <v>Aaradhya Singh</v>
      </c>
      <c r="F161" s="27" t="s">
        <v>16</v>
      </c>
      <c r="G161" s="27">
        <v>6</v>
      </c>
      <c r="H161" s="47">
        <v>238087</v>
      </c>
      <c r="I161" s="47">
        <v>209516.56</v>
      </c>
      <c r="J161" s="47">
        <v>28570.440000000002</v>
      </c>
      <c r="K161" s="29">
        <f t="shared" si="7"/>
        <v>0.12000000000000001</v>
      </c>
    </row>
    <row r="162" spans="1:11" s="1" customFormat="1">
      <c r="A162" s="27">
        <v>1161</v>
      </c>
      <c r="B162" s="30">
        <v>45358</v>
      </c>
      <c r="C162" s="28" t="str">
        <f t="shared" si="6"/>
        <v>Mar</v>
      </c>
      <c r="D162" s="27" t="s">
        <v>11</v>
      </c>
      <c r="E162" s="27" t="str">
        <f t="shared" ca="1" si="8"/>
        <v>Neha Sharma</v>
      </c>
      <c r="F162" s="27" t="s">
        <v>17</v>
      </c>
      <c r="G162" s="27">
        <v>1</v>
      </c>
      <c r="H162" s="47">
        <v>440018</v>
      </c>
      <c r="I162" s="47">
        <v>308012.59999999998</v>
      </c>
      <c r="J162" s="47">
        <v>132005.40000000002</v>
      </c>
      <c r="K162" s="29">
        <f t="shared" si="7"/>
        <v>0.30000000000000004</v>
      </c>
    </row>
    <row r="163" spans="1:11" s="1" customFormat="1">
      <c r="A163" s="27">
        <v>1162</v>
      </c>
      <c r="B163" s="30">
        <v>45394</v>
      </c>
      <c r="C163" s="28" t="str">
        <f t="shared" si="6"/>
        <v>Apr</v>
      </c>
      <c r="D163" s="27" t="s">
        <v>13</v>
      </c>
      <c r="E163" s="27" t="str">
        <f t="shared" ca="1" si="8"/>
        <v>Neha Sharma</v>
      </c>
      <c r="F163" s="27" t="s">
        <v>10</v>
      </c>
      <c r="G163" s="27">
        <v>9</v>
      </c>
      <c r="H163" s="47">
        <v>119524</v>
      </c>
      <c r="I163" s="47">
        <v>96814.44</v>
      </c>
      <c r="J163" s="47">
        <v>22709.559999999998</v>
      </c>
      <c r="K163" s="29">
        <f t="shared" si="7"/>
        <v>0.18999999999999997</v>
      </c>
    </row>
    <row r="164" spans="1:11" s="1" customFormat="1">
      <c r="A164" s="27">
        <v>1163</v>
      </c>
      <c r="B164" s="30">
        <v>45547</v>
      </c>
      <c r="C164" s="28" t="str">
        <f t="shared" si="6"/>
        <v>Sep</v>
      </c>
      <c r="D164" s="27" t="s">
        <v>13</v>
      </c>
      <c r="E164" s="27" t="str">
        <f t="shared" ca="1" si="8"/>
        <v>Rajiv Kumar</v>
      </c>
      <c r="F164" s="27" t="s">
        <v>17</v>
      </c>
      <c r="G164" s="27">
        <v>1</v>
      </c>
      <c r="H164" s="47">
        <v>332317</v>
      </c>
      <c r="I164" s="47">
        <v>209359.71</v>
      </c>
      <c r="J164" s="47">
        <v>122957.29000000001</v>
      </c>
      <c r="K164" s="29">
        <f t="shared" si="7"/>
        <v>0.37000000000000005</v>
      </c>
    </row>
    <row r="165" spans="1:11" s="1" customFormat="1">
      <c r="A165" s="27">
        <v>1164</v>
      </c>
      <c r="B165" s="30">
        <v>45359</v>
      </c>
      <c r="C165" s="28" t="str">
        <f t="shared" si="6"/>
        <v>Mar</v>
      </c>
      <c r="D165" s="27" t="s">
        <v>12</v>
      </c>
      <c r="E165" s="27" t="str">
        <f t="shared" ca="1" si="8"/>
        <v>Raj Nair</v>
      </c>
      <c r="F165" s="27" t="s">
        <v>17</v>
      </c>
      <c r="G165" s="27">
        <v>5</v>
      </c>
      <c r="H165" s="47">
        <v>310818</v>
      </c>
      <c r="I165" s="47">
        <v>198923.51999999999</v>
      </c>
      <c r="J165" s="47">
        <v>111894.48000000001</v>
      </c>
      <c r="K165" s="29">
        <f t="shared" si="7"/>
        <v>0.36000000000000004</v>
      </c>
    </row>
    <row r="166" spans="1:11" s="1" customFormat="1">
      <c r="A166" s="27">
        <v>1165</v>
      </c>
      <c r="B166" s="30">
        <v>45511</v>
      </c>
      <c r="C166" s="28" t="str">
        <f t="shared" si="6"/>
        <v>Aug</v>
      </c>
      <c r="D166" s="27" t="s">
        <v>13</v>
      </c>
      <c r="E166" s="27" t="str">
        <f t="shared" ca="1" si="8"/>
        <v>Shiv Dubey</v>
      </c>
      <c r="F166" s="27" t="s">
        <v>17</v>
      </c>
      <c r="G166" s="27">
        <v>5</v>
      </c>
      <c r="H166" s="47">
        <v>440409</v>
      </c>
      <c r="I166" s="47">
        <v>369943.56</v>
      </c>
      <c r="J166" s="47">
        <v>70465.440000000002</v>
      </c>
      <c r="K166" s="29">
        <f t="shared" si="7"/>
        <v>0.16</v>
      </c>
    </row>
    <row r="167" spans="1:11" s="1" customFormat="1">
      <c r="A167" s="27">
        <v>1166</v>
      </c>
      <c r="B167" s="30">
        <v>45474</v>
      </c>
      <c r="C167" s="28" t="str">
        <f t="shared" si="6"/>
        <v>Jul</v>
      </c>
      <c r="D167" s="27" t="s">
        <v>8</v>
      </c>
      <c r="E167" s="27" t="str">
        <f t="shared" ca="1" si="8"/>
        <v>Neha Sharma</v>
      </c>
      <c r="F167" s="27" t="s">
        <v>52</v>
      </c>
      <c r="G167" s="27">
        <v>1</v>
      </c>
      <c r="H167" s="47">
        <v>320672</v>
      </c>
      <c r="I167" s="47">
        <v>288604.79999999999</v>
      </c>
      <c r="J167" s="47">
        <v>32067.200000000012</v>
      </c>
      <c r="K167" s="29">
        <f t="shared" si="7"/>
        <v>0.10000000000000003</v>
      </c>
    </row>
    <row r="168" spans="1:11" s="1" customFormat="1">
      <c r="A168" s="27">
        <v>1167</v>
      </c>
      <c r="B168" s="30">
        <v>45637</v>
      </c>
      <c r="C168" s="28" t="str">
        <f t="shared" si="6"/>
        <v>Dec</v>
      </c>
      <c r="D168" s="27" t="s">
        <v>11</v>
      </c>
      <c r="E168" s="27" t="str">
        <f t="shared" ca="1" si="8"/>
        <v>Neha Sharma</v>
      </c>
      <c r="F168" s="27" t="s">
        <v>52</v>
      </c>
      <c r="G168" s="27">
        <v>6</v>
      </c>
      <c r="H168" s="47">
        <v>125524</v>
      </c>
      <c r="I168" s="47">
        <v>101674.44</v>
      </c>
      <c r="J168" s="47">
        <v>23849.559999999998</v>
      </c>
      <c r="K168" s="29">
        <f t="shared" si="7"/>
        <v>0.18999999999999997</v>
      </c>
    </row>
    <row r="169" spans="1:11" s="1" customFormat="1">
      <c r="A169" s="27">
        <v>1168</v>
      </c>
      <c r="B169" s="30">
        <v>45609</v>
      </c>
      <c r="C169" s="28" t="str">
        <f t="shared" si="6"/>
        <v>Nov</v>
      </c>
      <c r="D169" s="27" t="s">
        <v>8</v>
      </c>
      <c r="E169" s="27" t="str">
        <f t="shared" ca="1" si="8"/>
        <v>Aashish Solankhi</v>
      </c>
      <c r="F169" s="27" t="s">
        <v>15</v>
      </c>
      <c r="G169" s="27">
        <v>7</v>
      </c>
      <c r="H169" s="47">
        <v>340970</v>
      </c>
      <c r="I169" s="47">
        <v>235269.3</v>
      </c>
      <c r="J169" s="47">
        <v>105700.70000000001</v>
      </c>
      <c r="K169" s="29">
        <f t="shared" si="7"/>
        <v>0.31000000000000005</v>
      </c>
    </row>
    <row r="170" spans="1:11" s="1" customFormat="1">
      <c r="A170" s="27">
        <v>1169</v>
      </c>
      <c r="B170" s="30">
        <v>45551</v>
      </c>
      <c r="C170" s="28" t="str">
        <f t="shared" si="6"/>
        <v>Sep</v>
      </c>
      <c r="D170" s="27" t="s">
        <v>12</v>
      </c>
      <c r="E170" s="27" t="str">
        <f t="shared" ca="1" si="8"/>
        <v>Ira Rajdev</v>
      </c>
      <c r="F170" s="27" t="s">
        <v>52</v>
      </c>
      <c r="G170" s="27">
        <v>2</v>
      </c>
      <c r="H170" s="47">
        <v>253042</v>
      </c>
      <c r="I170" s="47">
        <v>210024.86</v>
      </c>
      <c r="J170" s="47">
        <v>43017.140000000014</v>
      </c>
      <c r="K170" s="29">
        <f t="shared" si="7"/>
        <v>0.17000000000000007</v>
      </c>
    </row>
    <row r="171" spans="1:11" s="1" customFormat="1">
      <c r="A171" s="27">
        <v>1170</v>
      </c>
      <c r="B171" s="30">
        <v>45535</v>
      </c>
      <c r="C171" s="28" t="str">
        <f t="shared" si="6"/>
        <v>Aug</v>
      </c>
      <c r="D171" s="27" t="s">
        <v>11</v>
      </c>
      <c r="E171" s="27" t="str">
        <f t="shared" ca="1" si="8"/>
        <v>Neha Sharma</v>
      </c>
      <c r="F171" s="27" t="s">
        <v>15</v>
      </c>
      <c r="G171" s="27">
        <v>6</v>
      </c>
      <c r="H171" s="47">
        <v>344621</v>
      </c>
      <c r="I171" s="47">
        <v>258465.75</v>
      </c>
      <c r="J171" s="47">
        <v>86155.25</v>
      </c>
      <c r="K171" s="29">
        <f t="shared" si="7"/>
        <v>0.25</v>
      </c>
    </row>
    <row r="172" spans="1:11" s="1" customFormat="1">
      <c r="A172" s="27">
        <v>1171</v>
      </c>
      <c r="B172" s="30">
        <v>45341</v>
      </c>
      <c r="C172" s="28" t="str">
        <f t="shared" si="6"/>
        <v>Feb</v>
      </c>
      <c r="D172" s="27" t="s">
        <v>13</v>
      </c>
      <c r="E172" s="27" t="str">
        <f t="shared" ca="1" si="8"/>
        <v>Raj Nair</v>
      </c>
      <c r="F172" s="27" t="s">
        <v>16</v>
      </c>
      <c r="G172" s="27">
        <v>6</v>
      </c>
      <c r="H172" s="47">
        <v>171803</v>
      </c>
      <c r="I172" s="47">
        <v>130570.28</v>
      </c>
      <c r="J172" s="47">
        <v>41232.720000000001</v>
      </c>
      <c r="K172" s="29">
        <f t="shared" si="7"/>
        <v>0.24000000000000002</v>
      </c>
    </row>
    <row r="173" spans="1:11" s="1" customFormat="1">
      <c r="A173" s="27">
        <v>1172</v>
      </c>
      <c r="B173" s="30">
        <v>45303</v>
      </c>
      <c r="C173" s="28" t="str">
        <f t="shared" si="6"/>
        <v>Jan</v>
      </c>
      <c r="D173" s="27" t="s">
        <v>13</v>
      </c>
      <c r="E173" s="27" t="str">
        <f t="shared" ca="1" si="8"/>
        <v>Ira Rajdev</v>
      </c>
      <c r="F173" s="27" t="s">
        <v>17</v>
      </c>
      <c r="G173" s="27">
        <v>1</v>
      </c>
      <c r="H173" s="47">
        <v>137388</v>
      </c>
      <c r="I173" s="47">
        <v>96171.6</v>
      </c>
      <c r="J173" s="47">
        <v>41216.399999999994</v>
      </c>
      <c r="K173" s="29">
        <f t="shared" si="7"/>
        <v>0.29999999999999993</v>
      </c>
    </row>
    <row r="174" spans="1:11" s="1" customFormat="1">
      <c r="A174" s="27">
        <v>1173</v>
      </c>
      <c r="B174" s="30">
        <v>45483</v>
      </c>
      <c r="C174" s="28" t="str">
        <f t="shared" si="6"/>
        <v>Jul</v>
      </c>
      <c r="D174" s="27" t="s">
        <v>13</v>
      </c>
      <c r="E174" s="27" t="str">
        <f t="shared" ca="1" si="8"/>
        <v>Neha Sharma</v>
      </c>
      <c r="F174" s="27" t="s">
        <v>16</v>
      </c>
      <c r="G174" s="27">
        <v>7</v>
      </c>
      <c r="H174" s="47">
        <v>234315</v>
      </c>
      <c r="I174" s="47">
        <v>192138.3</v>
      </c>
      <c r="J174" s="47">
        <v>42176.700000000012</v>
      </c>
      <c r="K174" s="29">
        <f t="shared" si="7"/>
        <v>0.18000000000000005</v>
      </c>
    </row>
    <row r="175" spans="1:11" s="1" customFormat="1">
      <c r="A175" s="27">
        <v>1174</v>
      </c>
      <c r="B175" s="30">
        <v>45378</v>
      </c>
      <c r="C175" s="28" t="str">
        <f t="shared" si="6"/>
        <v>Mar</v>
      </c>
      <c r="D175" s="27" t="s">
        <v>12</v>
      </c>
      <c r="E175" s="27" t="str">
        <f t="shared" ca="1" si="8"/>
        <v>Rajiv Kumar</v>
      </c>
      <c r="F175" s="27" t="s">
        <v>17</v>
      </c>
      <c r="G175" s="27">
        <v>5</v>
      </c>
      <c r="H175" s="47">
        <v>364002</v>
      </c>
      <c r="I175" s="47">
        <v>225681.24</v>
      </c>
      <c r="J175" s="47">
        <v>138320.76</v>
      </c>
      <c r="K175" s="29">
        <f t="shared" si="7"/>
        <v>0.38</v>
      </c>
    </row>
    <row r="176" spans="1:11" s="1" customFormat="1">
      <c r="A176" s="27">
        <v>1175</v>
      </c>
      <c r="B176" s="30">
        <v>45303</v>
      </c>
      <c r="C176" s="28" t="str">
        <f t="shared" si="6"/>
        <v>Jan</v>
      </c>
      <c r="D176" s="27" t="s">
        <v>12</v>
      </c>
      <c r="E176" s="27" t="str">
        <f t="shared" ca="1" si="8"/>
        <v>Amit Singh</v>
      </c>
      <c r="F176" s="27" t="s">
        <v>10</v>
      </c>
      <c r="G176" s="27">
        <v>1</v>
      </c>
      <c r="H176" s="47">
        <v>414046</v>
      </c>
      <c r="I176" s="47">
        <v>360220.02</v>
      </c>
      <c r="J176" s="47">
        <v>53825.979999999981</v>
      </c>
      <c r="K176" s="29">
        <f t="shared" si="7"/>
        <v>0.12999999999999995</v>
      </c>
    </row>
    <row r="177" spans="1:11" s="1" customFormat="1">
      <c r="A177" s="27">
        <v>1176</v>
      </c>
      <c r="B177" s="30">
        <v>45542</v>
      </c>
      <c r="C177" s="28" t="str">
        <f t="shared" si="6"/>
        <v>Sep</v>
      </c>
      <c r="D177" s="27" t="s">
        <v>8</v>
      </c>
      <c r="E177" s="27" t="str">
        <f t="shared" ca="1" si="8"/>
        <v>Neha Sharma</v>
      </c>
      <c r="F177" s="27" t="s">
        <v>52</v>
      </c>
      <c r="G177" s="27">
        <v>3</v>
      </c>
      <c r="H177" s="47">
        <v>457713</v>
      </c>
      <c r="I177" s="47">
        <v>320399.09999999998</v>
      </c>
      <c r="J177" s="47">
        <v>137313.90000000002</v>
      </c>
      <c r="K177" s="29">
        <f t="shared" si="7"/>
        <v>0.30000000000000004</v>
      </c>
    </row>
    <row r="178" spans="1:11" s="1" customFormat="1">
      <c r="A178" s="27">
        <v>1177</v>
      </c>
      <c r="B178" s="30">
        <v>45498</v>
      </c>
      <c r="C178" s="28" t="str">
        <f t="shared" si="6"/>
        <v>Jul</v>
      </c>
      <c r="D178" s="27" t="s">
        <v>8</v>
      </c>
      <c r="E178" s="27" t="str">
        <f t="shared" ca="1" si="8"/>
        <v>Aashish Solankhi</v>
      </c>
      <c r="F178" s="27" t="s">
        <v>17</v>
      </c>
      <c r="G178" s="27">
        <v>10</v>
      </c>
      <c r="H178" s="47">
        <v>388817</v>
      </c>
      <c r="I178" s="47">
        <v>314941.77</v>
      </c>
      <c r="J178" s="47">
        <v>73875.229999999981</v>
      </c>
      <c r="K178" s="29">
        <f t="shared" si="7"/>
        <v>0.18999999999999995</v>
      </c>
    </row>
    <row r="179" spans="1:11" s="1" customFormat="1">
      <c r="A179" s="27">
        <v>1178</v>
      </c>
      <c r="B179" s="30">
        <v>45298</v>
      </c>
      <c r="C179" s="28" t="str">
        <f t="shared" si="6"/>
        <v>Jan</v>
      </c>
      <c r="D179" s="27" t="s">
        <v>12</v>
      </c>
      <c r="E179" s="27" t="str">
        <f t="shared" ca="1" si="8"/>
        <v>Aashish Solankhi</v>
      </c>
      <c r="F179" s="27" t="s">
        <v>17</v>
      </c>
      <c r="G179" s="27">
        <v>2</v>
      </c>
      <c r="H179" s="47">
        <v>191700</v>
      </c>
      <c r="I179" s="47">
        <v>126522</v>
      </c>
      <c r="J179" s="47">
        <v>65178</v>
      </c>
      <c r="K179" s="29">
        <f t="shared" si="7"/>
        <v>0.34</v>
      </c>
    </row>
    <row r="180" spans="1:11" s="1" customFormat="1">
      <c r="A180" s="27">
        <v>1179</v>
      </c>
      <c r="B180" s="30">
        <v>45468</v>
      </c>
      <c r="C180" s="28" t="str">
        <f t="shared" si="6"/>
        <v>Jun</v>
      </c>
      <c r="D180" s="27" t="s">
        <v>13</v>
      </c>
      <c r="E180" s="27" t="str">
        <f t="shared" ca="1" si="8"/>
        <v>Amit Singh</v>
      </c>
      <c r="F180" s="27" t="s">
        <v>15</v>
      </c>
      <c r="G180" s="27">
        <v>5</v>
      </c>
      <c r="H180" s="47">
        <v>198230</v>
      </c>
      <c r="I180" s="47">
        <v>178407</v>
      </c>
      <c r="J180" s="47">
        <v>19823</v>
      </c>
      <c r="K180" s="29">
        <f t="shared" si="7"/>
        <v>0.1</v>
      </c>
    </row>
    <row r="181" spans="1:11" s="1" customFormat="1">
      <c r="A181" s="27">
        <v>1180</v>
      </c>
      <c r="B181" s="30">
        <v>45305</v>
      </c>
      <c r="C181" s="28" t="str">
        <f t="shared" si="6"/>
        <v>Jan</v>
      </c>
      <c r="D181" s="27" t="s">
        <v>11</v>
      </c>
      <c r="E181" s="27" t="str">
        <f t="shared" ca="1" si="8"/>
        <v>Aashish Solankhi</v>
      </c>
      <c r="F181" s="27" t="s">
        <v>52</v>
      </c>
      <c r="G181" s="27">
        <v>1</v>
      </c>
      <c r="H181" s="47">
        <v>425987</v>
      </c>
      <c r="I181" s="47">
        <v>336529.73</v>
      </c>
      <c r="J181" s="47">
        <v>89457.270000000019</v>
      </c>
      <c r="K181" s="29">
        <f t="shared" si="7"/>
        <v>0.21000000000000005</v>
      </c>
    </row>
    <row r="182" spans="1:11" s="1" customFormat="1">
      <c r="A182" s="27">
        <v>1181</v>
      </c>
      <c r="B182" s="30">
        <v>45652</v>
      </c>
      <c r="C182" s="28" t="str">
        <f t="shared" si="6"/>
        <v>Dec</v>
      </c>
      <c r="D182" s="27" t="s">
        <v>12</v>
      </c>
      <c r="E182" s="27" t="str">
        <f t="shared" ca="1" si="8"/>
        <v>Shiv Dubey</v>
      </c>
      <c r="F182" s="27" t="s">
        <v>52</v>
      </c>
      <c r="G182" s="27">
        <v>9</v>
      </c>
      <c r="H182" s="47">
        <v>138386</v>
      </c>
      <c r="I182" s="47">
        <v>92718.62</v>
      </c>
      <c r="J182" s="47">
        <v>45667.380000000005</v>
      </c>
      <c r="K182" s="29">
        <f t="shared" si="7"/>
        <v>0.33</v>
      </c>
    </row>
    <row r="183" spans="1:11" s="1" customFormat="1">
      <c r="A183" s="27">
        <v>1182</v>
      </c>
      <c r="B183" s="30">
        <v>45354</v>
      </c>
      <c r="C183" s="28" t="str">
        <f t="shared" si="6"/>
        <v>Mar</v>
      </c>
      <c r="D183" s="27" t="s">
        <v>12</v>
      </c>
      <c r="E183" s="27" t="str">
        <f t="shared" ca="1" si="8"/>
        <v>Rajiv Kumar</v>
      </c>
      <c r="F183" s="27" t="s">
        <v>10</v>
      </c>
      <c r="G183" s="27">
        <v>10</v>
      </c>
      <c r="H183" s="47">
        <v>467322</v>
      </c>
      <c r="I183" s="47">
        <v>285066.42</v>
      </c>
      <c r="J183" s="47">
        <v>182255.58000000002</v>
      </c>
      <c r="K183" s="29">
        <f t="shared" si="7"/>
        <v>0.39</v>
      </c>
    </row>
    <row r="184" spans="1:11" s="1" customFormat="1">
      <c r="A184" s="27">
        <v>1183</v>
      </c>
      <c r="B184" s="30">
        <v>45612</v>
      </c>
      <c r="C184" s="28" t="str">
        <f t="shared" si="6"/>
        <v>Nov</v>
      </c>
      <c r="D184" s="27" t="s">
        <v>8</v>
      </c>
      <c r="E184" s="27" t="str">
        <f t="shared" ca="1" si="8"/>
        <v>Aashish Solankhi</v>
      </c>
      <c r="F184" s="27" t="s">
        <v>16</v>
      </c>
      <c r="G184" s="27">
        <v>6</v>
      </c>
      <c r="H184" s="47">
        <v>264918</v>
      </c>
      <c r="I184" s="47">
        <v>209285.22</v>
      </c>
      <c r="J184" s="47">
        <v>55632.78</v>
      </c>
      <c r="K184" s="29">
        <f t="shared" si="7"/>
        <v>0.21</v>
      </c>
    </row>
    <row r="185" spans="1:11" s="1" customFormat="1">
      <c r="A185" s="27">
        <v>1184</v>
      </c>
      <c r="B185" s="30">
        <v>45511</v>
      </c>
      <c r="C185" s="28" t="str">
        <f t="shared" si="6"/>
        <v>Aug</v>
      </c>
      <c r="D185" s="27" t="s">
        <v>8</v>
      </c>
      <c r="E185" s="27" t="str">
        <f t="shared" ca="1" si="8"/>
        <v>Rajiv Kumar</v>
      </c>
      <c r="F185" s="27" t="s">
        <v>17</v>
      </c>
      <c r="G185" s="27">
        <v>2</v>
      </c>
      <c r="H185" s="47">
        <v>392514</v>
      </c>
      <c r="I185" s="47">
        <v>270834.65999999997</v>
      </c>
      <c r="J185" s="47">
        <v>121679.34000000003</v>
      </c>
      <c r="K185" s="29">
        <f t="shared" si="7"/>
        <v>0.31000000000000005</v>
      </c>
    </row>
    <row r="186" spans="1:11" s="1" customFormat="1">
      <c r="A186" s="27">
        <v>1185</v>
      </c>
      <c r="B186" s="30">
        <v>45435</v>
      </c>
      <c r="C186" s="28" t="str">
        <f t="shared" si="6"/>
        <v>May</v>
      </c>
      <c r="D186" s="27" t="s">
        <v>12</v>
      </c>
      <c r="E186" s="27" t="str">
        <f t="shared" ca="1" si="8"/>
        <v>Raj Nair</v>
      </c>
      <c r="F186" s="27" t="s">
        <v>52</v>
      </c>
      <c r="G186" s="27">
        <v>10</v>
      </c>
      <c r="H186" s="47">
        <v>130595</v>
      </c>
      <c r="I186" s="47">
        <v>87498.65</v>
      </c>
      <c r="J186" s="47">
        <v>43096.350000000006</v>
      </c>
      <c r="K186" s="29">
        <f t="shared" si="7"/>
        <v>0.33000000000000007</v>
      </c>
    </row>
    <row r="187" spans="1:11" s="1" customFormat="1">
      <c r="A187" s="27">
        <v>1186</v>
      </c>
      <c r="B187" s="30">
        <v>45350</v>
      </c>
      <c r="C187" s="28" t="str">
        <f t="shared" si="6"/>
        <v>Feb</v>
      </c>
      <c r="D187" s="27" t="s">
        <v>11</v>
      </c>
      <c r="E187" s="27" t="str">
        <f t="shared" ca="1" si="8"/>
        <v>Amit Singh</v>
      </c>
      <c r="F187" s="27" t="s">
        <v>16</v>
      </c>
      <c r="G187" s="27">
        <v>1</v>
      </c>
      <c r="H187" s="47">
        <v>438049</v>
      </c>
      <c r="I187" s="47">
        <v>297873.32</v>
      </c>
      <c r="J187" s="47">
        <v>140175.67999999999</v>
      </c>
      <c r="K187" s="29">
        <f t="shared" si="7"/>
        <v>0.32</v>
      </c>
    </row>
    <row r="188" spans="1:11" s="1" customFormat="1">
      <c r="A188" s="27">
        <v>1187</v>
      </c>
      <c r="B188" s="30">
        <v>45591</v>
      </c>
      <c r="C188" s="28" t="str">
        <f t="shared" si="6"/>
        <v>Oct</v>
      </c>
      <c r="D188" s="27" t="s">
        <v>12</v>
      </c>
      <c r="E188" s="27" t="str">
        <f t="shared" ca="1" si="8"/>
        <v>Neha Sharma</v>
      </c>
      <c r="F188" s="27" t="s">
        <v>16</v>
      </c>
      <c r="G188" s="27">
        <v>1</v>
      </c>
      <c r="H188" s="47">
        <v>293059</v>
      </c>
      <c r="I188" s="47">
        <v>228586.02</v>
      </c>
      <c r="J188" s="47">
        <v>64472.98000000001</v>
      </c>
      <c r="K188" s="29">
        <f t="shared" si="7"/>
        <v>0.22000000000000003</v>
      </c>
    </row>
    <row r="189" spans="1:11" s="1" customFormat="1">
      <c r="A189" s="27">
        <v>1188</v>
      </c>
      <c r="B189" s="30">
        <v>45378</v>
      </c>
      <c r="C189" s="28" t="str">
        <f t="shared" si="6"/>
        <v>Mar</v>
      </c>
      <c r="D189" s="27" t="s">
        <v>11</v>
      </c>
      <c r="E189" s="27" t="str">
        <f t="shared" ca="1" si="8"/>
        <v>Aashish Solankhi</v>
      </c>
      <c r="F189" s="27" t="s">
        <v>15</v>
      </c>
      <c r="G189" s="27">
        <v>2</v>
      </c>
      <c r="H189" s="47">
        <v>193174</v>
      </c>
      <c r="I189" s="47">
        <v>160334.42000000001</v>
      </c>
      <c r="J189" s="47">
        <v>32839.579999999987</v>
      </c>
      <c r="K189" s="29">
        <f t="shared" si="7"/>
        <v>0.16999999999999993</v>
      </c>
    </row>
    <row r="190" spans="1:11" s="1" customFormat="1">
      <c r="A190" s="27">
        <v>1189</v>
      </c>
      <c r="B190" s="30">
        <v>45310</v>
      </c>
      <c r="C190" s="28" t="str">
        <f t="shared" si="6"/>
        <v>Jan</v>
      </c>
      <c r="D190" s="27" t="s">
        <v>13</v>
      </c>
      <c r="E190" s="27" t="str">
        <f t="shared" ca="1" si="8"/>
        <v>Ira Rajdev</v>
      </c>
      <c r="F190" s="27" t="s">
        <v>52</v>
      </c>
      <c r="G190" s="27">
        <v>4</v>
      </c>
      <c r="H190" s="47">
        <v>332330</v>
      </c>
      <c r="I190" s="47">
        <v>245924.2</v>
      </c>
      <c r="J190" s="47">
        <v>86405.799999999988</v>
      </c>
      <c r="K190" s="29">
        <f t="shared" si="7"/>
        <v>0.25999999999999995</v>
      </c>
    </row>
    <row r="191" spans="1:11" s="1" customFormat="1">
      <c r="A191" s="27">
        <v>1190</v>
      </c>
      <c r="B191" s="30">
        <v>45512</v>
      </c>
      <c r="C191" s="28" t="str">
        <f t="shared" si="6"/>
        <v>Aug</v>
      </c>
      <c r="D191" s="27" t="s">
        <v>13</v>
      </c>
      <c r="E191" s="27" t="str">
        <f t="shared" ca="1" si="8"/>
        <v>Ira Rajdev</v>
      </c>
      <c r="F191" s="27" t="s">
        <v>52</v>
      </c>
      <c r="G191" s="27">
        <v>8</v>
      </c>
      <c r="H191" s="47">
        <v>458301</v>
      </c>
      <c r="I191" s="47">
        <v>316227.69</v>
      </c>
      <c r="J191" s="47">
        <v>142073.31</v>
      </c>
      <c r="K191" s="29">
        <f t="shared" si="7"/>
        <v>0.31</v>
      </c>
    </row>
    <row r="192" spans="1:11" s="1" customFormat="1">
      <c r="A192" s="27">
        <v>1191</v>
      </c>
      <c r="B192" s="30">
        <v>45346</v>
      </c>
      <c r="C192" s="28" t="str">
        <f t="shared" si="6"/>
        <v>Feb</v>
      </c>
      <c r="D192" s="27" t="s">
        <v>12</v>
      </c>
      <c r="E192" s="27" t="str">
        <f t="shared" ca="1" si="8"/>
        <v>Shiv Dubey</v>
      </c>
      <c r="F192" s="27" t="s">
        <v>10</v>
      </c>
      <c r="G192" s="27">
        <v>6</v>
      </c>
      <c r="H192" s="47">
        <v>373393</v>
      </c>
      <c r="I192" s="47">
        <v>250173.31</v>
      </c>
      <c r="J192" s="47">
        <v>123219.69</v>
      </c>
      <c r="K192" s="29">
        <f t="shared" si="7"/>
        <v>0.33</v>
      </c>
    </row>
    <row r="193" spans="1:11" s="1" customFormat="1">
      <c r="A193" s="27">
        <v>1192</v>
      </c>
      <c r="B193" s="30">
        <v>45360</v>
      </c>
      <c r="C193" s="28" t="str">
        <f t="shared" si="6"/>
        <v>Mar</v>
      </c>
      <c r="D193" s="27" t="s">
        <v>11</v>
      </c>
      <c r="E193" s="27" t="str">
        <f t="shared" ca="1" si="8"/>
        <v>Ira Rajdev</v>
      </c>
      <c r="F193" s="27" t="s">
        <v>17</v>
      </c>
      <c r="G193" s="27">
        <v>7</v>
      </c>
      <c r="H193" s="47">
        <v>393993</v>
      </c>
      <c r="I193" s="47">
        <v>346713.84</v>
      </c>
      <c r="J193" s="47">
        <v>47279.159999999974</v>
      </c>
      <c r="K193" s="29">
        <f t="shared" si="7"/>
        <v>0.11999999999999994</v>
      </c>
    </row>
    <row r="194" spans="1:11" s="1" customFormat="1">
      <c r="A194" s="27">
        <v>1193</v>
      </c>
      <c r="B194" s="30">
        <v>45544</v>
      </c>
      <c r="C194" s="28" t="str">
        <f t="shared" si="6"/>
        <v>Sep</v>
      </c>
      <c r="D194" s="27" t="s">
        <v>13</v>
      </c>
      <c r="E194" s="27" t="str">
        <f t="shared" ca="1" si="8"/>
        <v>Neha Sharma</v>
      </c>
      <c r="F194" s="27" t="s">
        <v>10</v>
      </c>
      <c r="G194" s="27">
        <v>2</v>
      </c>
      <c r="H194" s="47">
        <v>115779</v>
      </c>
      <c r="I194" s="47">
        <v>79887.509999999995</v>
      </c>
      <c r="J194" s="47">
        <v>35891.490000000005</v>
      </c>
      <c r="K194" s="29">
        <f t="shared" si="7"/>
        <v>0.31000000000000005</v>
      </c>
    </row>
    <row r="195" spans="1:11" s="1" customFormat="1">
      <c r="A195" s="27">
        <v>1194</v>
      </c>
      <c r="B195" s="30">
        <v>45380</v>
      </c>
      <c r="C195" s="28" t="str">
        <f t="shared" ref="C195:C200" si="9">TEXT(B195,"mmm")</f>
        <v>Mar</v>
      </c>
      <c r="D195" s="27" t="s">
        <v>11</v>
      </c>
      <c r="E195" s="27" t="str">
        <f t="shared" ca="1" si="8"/>
        <v>Shiv Dubey</v>
      </c>
      <c r="F195" s="27" t="s">
        <v>17</v>
      </c>
      <c r="G195" s="27">
        <v>7</v>
      </c>
      <c r="H195" s="47">
        <v>107127</v>
      </c>
      <c r="I195" s="47">
        <v>65347.47</v>
      </c>
      <c r="J195" s="47">
        <v>41779.53</v>
      </c>
      <c r="K195" s="29">
        <f t="shared" ref="K195:K200" si="10">J195/H195</f>
        <v>0.39</v>
      </c>
    </row>
    <row r="196" spans="1:11" s="1" customFormat="1">
      <c r="A196" s="27">
        <v>1195</v>
      </c>
      <c r="B196" s="30">
        <v>45561</v>
      </c>
      <c r="C196" s="28" t="str">
        <f t="shared" si="9"/>
        <v>Sep</v>
      </c>
      <c r="D196" s="27" t="s">
        <v>11</v>
      </c>
      <c r="E196" s="27" t="str">
        <f t="shared" ca="1" si="8"/>
        <v>Rajiv Kumar</v>
      </c>
      <c r="F196" s="27" t="s">
        <v>16</v>
      </c>
      <c r="G196" s="27">
        <v>2</v>
      </c>
      <c r="H196" s="47">
        <v>260023</v>
      </c>
      <c r="I196" s="47">
        <v>174215.41</v>
      </c>
      <c r="J196" s="47">
        <v>85807.59</v>
      </c>
      <c r="K196" s="29">
        <f t="shared" si="10"/>
        <v>0.32999999999999996</v>
      </c>
    </row>
    <row r="197" spans="1:11" s="1" customFormat="1">
      <c r="A197" s="27">
        <v>1196</v>
      </c>
      <c r="B197" s="30">
        <v>45577</v>
      </c>
      <c r="C197" s="28" t="str">
        <f t="shared" si="9"/>
        <v>Oct</v>
      </c>
      <c r="D197" s="27" t="s">
        <v>8</v>
      </c>
      <c r="E197" s="27" t="str">
        <f t="shared" ca="1" si="8"/>
        <v>Amit Singh</v>
      </c>
      <c r="F197" s="27" t="s">
        <v>10</v>
      </c>
      <c r="G197" s="27">
        <v>5</v>
      </c>
      <c r="H197" s="47">
        <v>114984</v>
      </c>
      <c r="I197" s="47">
        <v>87387.839999999997</v>
      </c>
      <c r="J197" s="47">
        <v>27596.160000000003</v>
      </c>
      <c r="K197" s="29">
        <f t="shared" si="10"/>
        <v>0.24000000000000002</v>
      </c>
    </row>
    <row r="198" spans="1:11" s="1" customFormat="1">
      <c r="A198" s="27">
        <v>1197</v>
      </c>
      <c r="B198" s="30">
        <v>45587</v>
      </c>
      <c r="C198" s="28" t="str">
        <f t="shared" si="9"/>
        <v>Oct</v>
      </c>
      <c r="D198" s="27" t="s">
        <v>12</v>
      </c>
      <c r="E198" s="27" t="str">
        <f t="shared" ca="1" si="8"/>
        <v>Aashish Solankhi</v>
      </c>
      <c r="F198" s="27" t="s">
        <v>17</v>
      </c>
      <c r="G198" s="27">
        <v>9</v>
      </c>
      <c r="H198" s="47">
        <v>312742</v>
      </c>
      <c r="I198" s="47">
        <v>193900.04</v>
      </c>
      <c r="J198" s="47">
        <v>118841.95999999999</v>
      </c>
      <c r="K198" s="29">
        <f t="shared" si="10"/>
        <v>0.37999999999999995</v>
      </c>
    </row>
    <row r="199" spans="1:11" s="1" customFormat="1">
      <c r="A199" s="27">
        <v>1198</v>
      </c>
      <c r="B199" s="30">
        <v>45298</v>
      </c>
      <c r="C199" s="28" t="str">
        <f t="shared" si="9"/>
        <v>Jan</v>
      </c>
      <c r="D199" s="27" t="s">
        <v>11</v>
      </c>
      <c r="E199" s="27" t="str">
        <f t="shared" ca="1" si="8"/>
        <v>Neha Sharma</v>
      </c>
      <c r="F199" s="27" t="s">
        <v>10</v>
      </c>
      <c r="G199" s="27">
        <v>7</v>
      </c>
      <c r="H199" s="47">
        <v>251661</v>
      </c>
      <c r="I199" s="47">
        <v>216428.46</v>
      </c>
      <c r="J199" s="47">
        <v>35232.540000000008</v>
      </c>
      <c r="K199" s="29">
        <f t="shared" si="10"/>
        <v>0.14000000000000004</v>
      </c>
    </row>
    <row r="200" spans="1:11" s="1" customFormat="1">
      <c r="A200" s="27">
        <v>1199</v>
      </c>
      <c r="B200" s="30">
        <v>45410</v>
      </c>
      <c r="C200" s="28" t="str">
        <f t="shared" si="9"/>
        <v>Apr</v>
      </c>
      <c r="D200" s="27" t="s">
        <v>8</v>
      </c>
      <c r="E200" s="27" t="str">
        <f t="shared" ca="1" si="8"/>
        <v>Ira Rajdev</v>
      </c>
      <c r="F200" s="27" t="s">
        <v>10</v>
      </c>
      <c r="G200" s="27">
        <v>3</v>
      </c>
      <c r="H200" s="47">
        <v>415246</v>
      </c>
      <c r="I200" s="47">
        <v>319739.42</v>
      </c>
      <c r="J200" s="47">
        <v>95506.580000000016</v>
      </c>
      <c r="K200" s="29">
        <f t="shared" si="10"/>
        <v>0.23000000000000004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showGridLines="0" topLeftCell="A28" workbookViewId="0">
      <selection activeCell="N5" sqref="N5"/>
    </sheetView>
  </sheetViews>
  <sheetFormatPr defaultRowHeight="14.5"/>
  <cols>
    <col min="2" max="2" width="26" bestFit="1" customWidth="1"/>
    <col min="5" max="5" width="24" customWidth="1"/>
    <col min="8" max="8" width="12.6328125" customWidth="1"/>
    <col min="11" max="11" width="17.6328125" bestFit="1" customWidth="1"/>
  </cols>
  <sheetData>
    <row r="1" spans="1:12">
      <c r="A1" s="48" t="s">
        <v>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5" thickBo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4.5" customHeight="1">
      <c r="A3" s="49"/>
      <c r="B3" s="50"/>
      <c r="C3" s="51"/>
      <c r="D3" s="5"/>
      <c r="E3" s="18"/>
      <c r="F3" s="19"/>
      <c r="G3" s="5"/>
      <c r="H3" s="6"/>
      <c r="I3" s="7"/>
      <c r="J3" s="5"/>
      <c r="K3" s="6"/>
      <c r="L3" s="7"/>
    </row>
    <row r="4" spans="1:12" ht="18.5">
      <c r="A4" s="58" t="s">
        <v>47</v>
      </c>
      <c r="B4" s="59"/>
      <c r="C4" s="60"/>
      <c r="D4" s="58" t="s">
        <v>46</v>
      </c>
      <c r="E4" s="59"/>
      <c r="F4" s="60"/>
      <c r="G4" s="52" t="s">
        <v>48</v>
      </c>
      <c r="H4" s="53"/>
      <c r="I4" s="54"/>
      <c r="J4" s="52" t="s">
        <v>27</v>
      </c>
      <c r="K4" s="53"/>
      <c r="L4" s="54"/>
    </row>
    <row r="5" spans="1:12" ht="26">
      <c r="A5" s="13"/>
      <c r="B5" s="32">
        <f>SUM('Sales Data Sheet'!H2:H200)</f>
        <v>60440091</v>
      </c>
      <c r="C5" s="14"/>
      <c r="D5" s="20"/>
      <c r="E5" s="33">
        <f>SUM('Sales Data Sheet'!J2:J200)</f>
        <v>15263486.949999996</v>
      </c>
      <c r="F5" s="21"/>
      <c r="G5" s="8"/>
      <c r="H5" s="25">
        <f>COUNTA('Sales Data Sheet'!A2:A200)</f>
        <v>199</v>
      </c>
      <c r="I5" s="9"/>
      <c r="J5" s="8"/>
      <c r="K5" s="31">
        <f>E5/B5</f>
        <v>0.25253911265620027</v>
      </c>
      <c r="L5" s="9"/>
    </row>
    <row r="6" spans="1:12" ht="15" thickBot="1">
      <c r="A6" s="15"/>
      <c r="B6" s="16"/>
      <c r="C6" s="17"/>
      <c r="D6" s="22"/>
      <c r="E6" s="23"/>
      <c r="F6" s="24"/>
      <c r="G6" s="10"/>
      <c r="H6" s="11"/>
      <c r="I6" s="12"/>
      <c r="J6" s="10"/>
      <c r="K6" s="11"/>
      <c r="L6" s="12"/>
    </row>
    <row r="35" spans="1:12" ht="15" thickBot="1"/>
    <row r="36" spans="1:12" ht="19" thickBot="1">
      <c r="A36" s="55" t="s">
        <v>49</v>
      </c>
      <c r="B36" s="56"/>
      <c r="C36" s="56"/>
      <c r="D36" s="56"/>
      <c r="E36" s="56"/>
      <c r="F36" s="57"/>
      <c r="G36" s="55" t="s">
        <v>50</v>
      </c>
      <c r="H36" s="56"/>
      <c r="I36" s="56"/>
      <c r="J36" s="56"/>
      <c r="K36" s="56"/>
      <c r="L36" s="57"/>
    </row>
    <row r="37" spans="1:12">
      <c r="A37" s="34"/>
      <c r="B37" s="35"/>
      <c r="C37" s="36"/>
      <c r="D37" s="36"/>
      <c r="E37" s="36"/>
      <c r="F37" s="37"/>
      <c r="G37" s="46"/>
      <c r="H37" s="40"/>
      <c r="I37" s="40"/>
      <c r="J37" s="40"/>
      <c r="K37" s="40"/>
      <c r="L37" s="41"/>
    </row>
    <row r="38" spans="1:12" ht="26">
      <c r="A38" s="38" t="s">
        <v>51</v>
      </c>
      <c r="B38" s="39" t="str">
        <f>"Highest Sales Month:  "&amp;'Pivot Tables'!A4</f>
        <v>Highest Sales Month:  Mar</v>
      </c>
      <c r="C38" s="40"/>
      <c r="D38" s="40"/>
      <c r="E38" s="40"/>
      <c r="F38" s="41"/>
      <c r="G38" s="46"/>
      <c r="H38" s="40"/>
      <c r="I38" s="40"/>
      <c r="J38" s="40"/>
      <c r="K38" s="40"/>
      <c r="L38" s="41"/>
    </row>
    <row r="39" spans="1:12" ht="26">
      <c r="A39" s="38" t="s">
        <v>51</v>
      </c>
      <c r="B39" s="42" t="str">
        <f>"Best Region:  "&amp;'Pivot Tables'!A20</f>
        <v>Best Region:  West</v>
      </c>
      <c r="C39" s="40"/>
      <c r="D39" s="40"/>
      <c r="E39" s="40"/>
      <c r="F39" s="41"/>
      <c r="G39" s="46"/>
      <c r="H39" s="40"/>
      <c r="I39" s="40"/>
      <c r="J39" s="40"/>
      <c r="K39" s="40"/>
      <c r="L39" s="41"/>
    </row>
    <row r="40" spans="1:12" ht="26">
      <c r="A40" s="38" t="s">
        <v>51</v>
      </c>
      <c r="B40" s="42" t="str">
        <f>"Best Selling Product:  "&amp;'Pivot Tables'!A28</f>
        <v>Best Selling Product:  Mobile</v>
      </c>
      <c r="C40" s="40"/>
      <c r="D40" s="40"/>
      <c r="E40" s="40"/>
      <c r="F40" s="41"/>
      <c r="G40" s="46"/>
      <c r="H40" s="40"/>
      <c r="I40" s="40"/>
      <c r="J40" s="40"/>
      <c r="K40" s="40"/>
      <c r="L40" s="41"/>
    </row>
    <row r="41" spans="1:12" ht="26">
      <c r="A41" s="38" t="s">
        <v>51</v>
      </c>
      <c r="B41" s="42" t="str">
        <f>"Top Salesperson:  "&amp;'Pivot Tables'!A38</f>
        <v>Top Salesperson:  Rajiv Kumar</v>
      </c>
      <c r="C41" s="40"/>
      <c r="D41" s="40"/>
      <c r="E41" s="40"/>
      <c r="F41" s="41"/>
      <c r="G41" s="46"/>
      <c r="H41" s="40"/>
      <c r="I41" s="40"/>
      <c r="J41" s="40"/>
      <c r="K41" s="40"/>
      <c r="L41" s="41"/>
    </row>
    <row r="42" spans="1:12" ht="15" thickBot="1">
      <c r="A42" s="43"/>
      <c r="B42" s="44"/>
      <c r="C42" s="44"/>
      <c r="D42" s="44"/>
      <c r="E42" s="44"/>
      <c r="F42" s="45"/>
      <c r="G42" s="43"/>
      <c r="H42" s="44"/>
      <c r="I42" s="44"/>
      <c r="J42" s="44"/>
      <c r="K42" s="44"/>
      <c r="L42" s="45"/>
    </row>
  </sheetData>
  <mergeCells count="8">
    <mergeCell ref="A1:L2"/>
    <mergeCell ref="A3:C3"/>
    <mergeCell ref="J4:L4"/>
    <mergeCell ref="A36:F36"/>
    <mergeCell ref="G36:L36"/>
    <mergeCell ref="A4:C4"/>
    <mergeCell ref="D4:F4"/>
    <mergeCell ref="G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Sales Data Sheet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2026-06-26T12:36:53Z</dcterms:created>
  <dcterms:modified xsi:type="dcterms:W3CDTF">2026-06-29T07:08:19Z</dcterms:modified>
</cp:coreProperties>
</file>